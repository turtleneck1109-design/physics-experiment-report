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结果汇总" sheetId="1" r:id="rId1"/>
    <sheet name="惠斯通电桥" sheetId="2" r:id="rId2"/>
    <sheet name="四端法原始数据" sheetId="3" r:id="rId3"/>
    <sheet name="四端法拟合图" sheetId="4" r:id="rId4"/>
    <sheet name="计算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<sst xmlns="http://schemas.openxmlformats.org/spreadsheetml/2006/main" count="234" uniqueCount="130">
  <si>
    <t>实验项目</t>
  </si>
  <si>
    <t>对象</t>
  </si>
  <si>
    <t>最终结果</t>
  </si>
  <si>
    <t>相对不确定度</t>
  </si>
  <si>
    <t>拟合电阻 R/Ω</t>
  </si>
  <si>
    <t>电阻率 ρ/(Ω·m)</t>
  </si>
  <si>
    <t>备注</t>
  </si>
  <si>
    <t>惠斯通电桥</t>
  </si>
  <si>
    <t>RA</t>
  </si>
  <si>
    <t>(110.02 ± 0.16) kΩ</t>
  </si>
  <si>
    <t/>
  </si>
  <si>
    <t>RB（交换法6次）</t>
  </si>
  <si>
    <t>(912.0 ± 1.2) Ω</t>
  </si>
  <si>
    <t>交换前后共 6 次 R0；RA/RC 使用 3 次 R0</t>
  </si>
  <si>
    <t>RC</t>
  </si>
  <si>
    <t>(50.93 ± 0.07) Ω</t>
  </si>
  <si>
    <t>四端法</t>
  </si>
  <si>
    <t>S-1</t>
  </si>
  <si>
    <t>d=0.506 mm, L=14.20 mm</t>
  </si>
  <si>
    <t>S-2</t>
  </si>
  <si>
    <t>d=0.510 mm, L=14.20 mm</t>
  </si>
  <si>
    <t>S-3</t>
  </si>
  <si>
    <t>d=0.452 mm, L=14.20 mm</t>
  </si>
  <si>
    <t>Rx</t>
  </si>
  <si>
    <t>万用表粗测</t>
  </si>
  <si>
    <t>R1 (Ω)</t>
  </si>
  <si>
    <t>R2 (Ω)</t>
  </si>
  <si>
    <t>R0-1 (Ω)</t>
  </si>
  <si>
    <t>R0-2 (Ω)</t>
  </si>
  <si>
    <t>R0-3 (Ω)</t>
  </si>
  <si>
    <t>I (mA)</t>
  </si>
  <si>
    <t>ΔR0 (Ω)</t>
  </si>
  <si>
    <t>ΔU (mV)</t>
  </si>
  <si>
    <t>109.9 kΩ</t>
  </si>
  <si>
    <t>RB-交换前</t>
  </si>
  <si>
    <t>912.4 Ω</t>
  </si>
  <si>
    <t>RB-交换后</t>
  </si>
  <si>
    <t>51.15 Ω</t>
  </si>
  <si>
    <t>n</t>
  </si>
  <si>
    <t>R0平均 (Ω)</t>
  </si>
  <si>
    <t>σ (Ω)</t>
  </si>
  <si>
    <t>t0.95/√n</t>
  </si>
  <si>
    <t>ΔA (Ω)</t>
  </si>
  <si>
    <t>ΔB1 (Ω)</t>
  </si>
  <si>
    <t>ΔB2 (Ω)</t>
  </si>
  <si>
    <t>ΔB3 (Ω)</t>
  </si>
  <si>
    <t>ΔB4 (Ω)</t>
  </si>
  <si>
    <t>ΔB5 (Ω)</t>
  </si>
  <si>
    <t>ΔB6 (Ω)</t>
  </si>
  <si>
    <t>ΔBmax (Ω)</t>
  </si>
  <si>
    <t>u_R0 (Ω)</t>
  </si>
  <si>
    <t>u_rR0</t>
  </si>
  <si>
    <t>R1/R2</t>
  </si>
  <si>
    <t>Rx平均 (Ω)</t>
  </si>
  <si>
    <t>u_rRx</t>
  </si>
  <si>
    <t>u_Rx (Ω)</t>
  </si>
  <si>
    <t>最终表示</t>
  </si>
  <si>
    <t>(911.9 ± 1.2) Ω</t>
  </si>
  <si>
    <t>(912.1 ± 1.2) Ω</t>
  </si>
  <si>
    <t>RB-交换法(6次)</t>
  </si>
  <si>
    <t>灵敏度</t>
  </si>
  <si>
    <t>ΔU/(ΔR0/R0)</t>
  </si>
  <si>
    <t>ΔR0/R0</t>
  </si>
  <si>
    <t>RB</t>
  </si>
  <si>
    <t>样品</t>
  </si>
  <si>
    <t>点号</t>
  </si>
  <si>
    <t>U (mV)</t>
  </si>
  <si>
    <t>直径 d (mm)</t>
  </si>
  <si>
    <t>长度 L (mm)</t>
  </si>
  <si>
    <t>截距 b/mV</t>
  </si>
  <si>
    <t>R²</t>
  </si>
  <si>
    <t>横截面积 S/m²</t>
  </si>
  <si>
    <t>拟合方程</t>
  </si>
  <si>
    <t>U = 0.04637 I - 0.00683</t>
  </si>
  <si>
    <t>U = 0.02961 I - 0.00134</t>
  </si>
  <si>
    <t>U = 0.10051 I + 0.00040</t>
  </si>
  <si>
    <t>S-1 实测</t>
  </si>
  <si>
    <t>S-1 拟合</t>
  </si>
  <si>
    <t>S-2 实测</t>
  </si>
  <si>
    <t>S-2 拟合</t>
  </si>
  <si>
    <t>S-3 实测</t>
  </si>
  <si>
    <t>S-3 拟合</t>
  </si>
  <si>
    <t>0.00</t>
  </si>
  <si>
    <t>10.03</t>
  </si>
  <si>
    <t>20.09</t>
  </si>
  <si>
    <t>29.99</t>
  </si>
  <si>
    <t>39.98</t>
  </si>
  <si>
    <t>50.09</t>
  </si>
  <si>
    <t>60.02</t>
  </si>
  <si>
    <t>70.01</t>
  </si>
  <si>
    <t>80.00</t>
  </si>
  <si>
    <t>89.99</t>
  </si>
  <si>
    <t>100.03</t>
  </si>
  <si>
    <t>方程</t>
  </si>
  <si>
    <t>U = a + kI</t>
  </si>
  <si>
    <t>绘图</t>
  </si>
  <si>
    <t>权重</t>
  </si>
  <si>
    <t>不加权</t>
  </si>
  <si>
    <t>截距</t>
  </si>
  <si>
    <t>-0.00683 ± 0.01729 mV</t>
  </si>
  <si>
    <t>-0.00134 ± 0.00583 mV</t>
  </si>
  <si>
    <t>0.00040 ± 0.00212 mV</t>
  </si>
  <si>
    <t>斜率</t>
  </si>
  <si>
    <t>0.04637 ± 0.00029 Ω</t>
  </si>
  <si>
    <t>0.02961 ± 0.00010 Ω</t>
  </si>
  <si>
    <t>0.10051 ± 0.00004 Ω</t>
  </si>
  <si>
    <t>残差平方和</t>
  </si>
  <si>
    <t>0.008453268</t>
  </si>
  <si>
    <t>0.000960303</t>
  </si>
  <si>
    <t>0.000127444</t>
  </si>
  <si>
    <t>Pearson's r</t>
  </si>
  <si>
    <t>0.999821</t>
  </si>
  <si>
    <t>0.999950</t>
  </si>
  <si>
    <t>0.999999</t>
  </si>
  <si>
    <t>R²(COD)</t>
  </si>
  <si>
    <t>0.999643</t>
  </si>
  <si>
    <t>0.999900</t>
  </si>
  <si>
    <t>调整后R²</t>
  </si>
  <si>
    <t>0.999603</t>
  </si>
  <si>
    <t>0.999889</t>
  </si>
  <si>
    <t>项目</t>
  </si>
  <si>
    <t>说明</t>
  </si>
  <si>
    <t>标黄修改</t>
  </si>
  <si>
    <t>已重新读取 Excel 内标黄单元格：惠斯通 ΔU=0.14 mV、RB 交换后 912.1/912.1/912.2、S-2 的 59.88/70.06、S-3 的 60.08。</t>
  </si>
  <si>
    <t>RB 最终处理</t>
  </si>
  <si>
    <t>RB 的交换法结果采用交换前后共 6 个 R0 读数综合处理；详细页列出交换前 3 次、交换后 3 次，以及最终交换法 6 次结果。</t>
  </si>
  <si>
    <t>有效数字</t>
  </si>
  <si>
    <t>不确定度取 1 到 2 位；最终平均值保留到与不确定度相同的末位。表格数字设置了固定小数位，避免 Excel 把 80.00 等末尾 0 省略。</t>
  </si>
  <si>
    <t>四端法图表</t>
  </si>
  <si>
    <t>按照 PPT 要求绘制 U-I 伏安特性曲线：散点为原始数据，同色直线为最小二乘拟合，横轴为电流 I/mA，纵轴为电压 U/mV。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</si>
</sst>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000"/>
    <numFmt numFmtId="178" formatCode="0.000"/>
    <numFmt numFmtId="179" formatCode="0.0"/>
  </numFmts>
  <fonts count="23">
    <font>
      <sz val="11"/>
      <color theme="1"/>
      <name val="宋体"/>
      <charset val="134"/>
      <scheme val="minor"/>
    </font>
    <font>
      <b/>
      <sz val="11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78" fontId="2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伏安特性曲线求电阻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"S-1 实测"</c:f>
              <c:strCache>
                <c:ptCount val="1"/>
                <c:pt idx="0">
                  <c:v>S-1 实测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四端法拟合图!$A$7:$A$17</c:f>
              <c:strCache>
                <c:ptCount val="11"/>
                <c:pt idx="0" c:formatCode="0.00">
                  <c:v>0.00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80.00</c:v>
                </c:pt>
                <c:pt idx="9" c:formatCode="0.00">
                  <c:v>89.99</c:v>
                </c:pt>
                <c:pt idx="10" c:formatCode="0.00">
                  <c:v>100.03</c:v>
                </c:pt>
              </c:strCache>
            </c:strRef>
          </c:cat>
          <c:val>
            <c:numRef>
              <c:f>四端法拟合图!$B$7:$B$17</c:f>
              <c:numCache>
                <c:formatCode>0.00</c:formatCode>
                <c:ptCount val="11"/>
                <c:pt idx="0">
                  <c:v>0</c:v>
                </c:pt>
                <c:pt idx="1">
                  <c:v>0.46</c:v>
                </c:pt>
                <c:pt idx="2">
                  <c:v>0.92</c:v>
                </c:pt>
                <c:pt idx="3">
                  <c:v>1.38</c:v>
                </c:pt>
                <c:pt idx="4">
                  <c:v>1.85</c:v>
                </c:pt>
                <c:pt idx="5">
                  <c:v>2.28</c:v>
                </c:pt>
                <c:pt idx="6">
                  <c:v>2.76</c:v>
                </c:pt>
                <c:pt idx="7">
                  <c:v>3.32</c:v>
                </c:pt>
                <c:pt idx="8">
                  <c:v>3.69</c:v>
                </c:pt>
                <c:pt idx="9">
                  <c:v>4.16</c:v>
                </c:pt>
                <c:pt idx="10">
                  <c:v>4.62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"S-1 拟合"</c:f>
              <c:strCache>
                <c:ptCount val="1"/>
                <c:pt idx="0">
                  <c:v>S-1 拟合</c:v>
                </c:pt>
              </c:strCache>
            </c:strRef>
          </c:tx>
          <c:spPr>
            <a:ln w="2200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四端法拟合图!$A$7:$A$17</c:f>
              <c:strCache>
                <c:ptCount val="11"/>
                <c:pt idx="0" c:formatCode="0.00">
                  <c:v>0.00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80.00</c:v>
                </c:pt>
                <c:pt idx="9" c:formatCode="0.00">
                  <c:v>89.99</c:v>
                </c:pt>
                <c:pt idx="10" c:formatCode="0.00">
                  <c:v>100.03</c:v>
                </c:pt>
              </c:strCache>
            </c:strRef>
          </c:cat>
          <c:val>
            <c:numRef>
              <c:f>四端法拟合图!$C$7:$C$17</c:f>
              <c:numCache>
                <c:formatCode>0.00</c:formatCode>
                <c:ptCount val="11"/>
                <c:pt idx="0">
                  <c:v>-0.0068300323615107</c:v>
                </c:pt>
                <c:pt idx="1">
                  <c:v>0.458278663039404</c:v>
                </c:pt>
                <c:pt idx="2">
                  <c:v>0.924778511068637</c:v>
                </c:pt>
                <c:pt idx="3">
                  <c:v>1.38385887841351</c:v>
                </c:pt>
                <c:pt idx="4">
                  <c:v>1.84711270364333</c:v>
                </c:pt>
                <c:pt idx="5">
                  <c:v>2.31593113938643</c:v>
                </c:pt>
                <c:pt idx="6">
                  <c:v>2.77640265935962</c:v>
                </c:pt>
                <c:pt idx="7">
                  <c:v>3.23965648458944</c:v>
                </c:pt>
                <c:pt idx="8">
                  <c:v>3.70291030981927</c:v>
                </c:pt>
                <c:pt idx="9">
                  <c:v>4.16616413504909</c:v>
                </c:pt>
                <c:pt idx="10">
                  <c:v>4.63173654799278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"S-2 实测"</c:f>
              <c:strCache>
                <c:ptCount val="1"/>
                <c:pt idx="0">
                  <c:v>S-2 实测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square"/>
            <c:size val="7"/>
            <c:spPr>
              <a:solidFill>
                <a:srgbClr val="C0504D"/>
              </a:solidFill>
              <a:ln w="9525" cap="flat" cmpd="sng" algn="ctr">
                <a:solidFill>
                  <a:srgbClr val="C0504D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四端法拟合图!$A$7:$A$17</c:f>
              <c:strCache>
                <c:ptCount val="11"/>
                <c:pt idx="0" c:formatCode="0.00">
                  <c:v>0.00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80.00</c:v>
                </c:pt>
                <c:pt idx="9" c:formatCode="0.00">
                  <c:v>89.99</c:v>
                </c:pt>
                <c:pt idx="10" c:formatCode="0.00">
                  <c:v>100.03</c:v>
                </c:pt>
              </c:strCache>
            </c:strRef>
          </c:cat>
          <c:val>
            <c:numRef>
              <c:f>四端法拟合图!$D$7:$D$17</c:f>
              <c:numCache>
                <c:formatCode>0.00</c:formatCode>
                <c:ptCount val="11"/>
                <c:pt idx="0">
                  <c:v>0</c:v>
                </c:pt>
                <c:pt idx="1">
                  <c:v>0.3</c:v>
                </c:pt>
                <c:pt idx="2">
                  <c:v>0.58</c:v>
                </c:pt>
                <c:pt idx="3">
                  <c:v>0.89</c:v>
                </c:pt>
                <c:pt idx="4">
                  <c:v>1.18</c:v>
                </c:pt>
                <c:pt idx="5">
                  <c:v>1.48</c:v>
                </c:pt>
                <c:pt idx="6">
                  <c:v>1.77</c:v>
                </c:pt>
                <c:pt idx="7">
                  <c:v>2.1</c:v>
                </c:pt>
                <c:pt idx="8">
                  <c:v>2.36</c:v>
                </c:pt>
                <c:pt idx="9">
                  <c:v>2.66</c:v>
                </c:pt>
                <c:pt idx="10">
                  <c:v>2.95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"S-2 拟合"</c:f>
              <c:strCache>
                <c:ptCount val="1"/>
                <c:pt idx="0">
                  <c:v>S-2 拟合</c:v>
                </c:pt>
              </c:strCache>
            </c:strRef>
          </c:tx>
          <c:spPr>
            <a:ln w="22000" cap="rnd" cmpd="sng" algn="ctr">
              <a:solidFill>
                <a:srgbClr val="C0504D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四端法拟合图!$A$7:$A$17</c:f>
              <c:strCache>
                <c:ptCount val="11"/>
                <c:pt idx="0" c:formatCode="0.00">
                  <c:v>0.00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80.00</c:v>
                </c:pt>
                <c:pt idx="9" c:formatCode="0.00">
                  <c:v>89.99</c:v>
                </c:pt>
                <c:pt idx="10" c:formatCode="0.00">
                  <c:v>100.03</c:v>
                </c:pt>
              </c:strCache>
            </c:strRef>
          </c:cat>
          <c:val>
            <c:numRef>
              <c:f>四端法拟合图!$E$7:$E$17</c:f>
              <c:numCache>
                <c:formatCode>0.00</c:formatCode>
                <c:ptCount val="11"/>
                <c:pt idx="0">
                  <c:v>-0.00134477632079788</c:v>
                </c:pt>
                <c:pt idx="1">
                  <c:v>0.300093852038361</c:v>
                </c:pt>
                <c:pt idx="2">
                  <c:v>0.590576459523955</c:v>
                </c:pt>
                <c:pt idx="3">
                  <c:v>0.887869566471495</c:v>
                </c:pt>
                <c:pt idx="4">
                  <c:v>1.18131326067967</c:v>
                </c:pt>
                <c:pt idx="5">
                  <c:v>1.47831025895496</c:v>
                </c:pt>
                <c:pt idx="6">
                  <c:v>1.77175395316313</c:v>
                </c:pt>
                <c:pt idx="7">
                  <c:v>2.07319258152229</c:v>
                </c:pt>
                <c:pt idx="8">
                  <c:v>2.36604405838595</c:v>
                </c:pt>
                <c:pt idx="9">
                  <c:v>2.66452160002253</c:v>
                </c:pt>
                <c:pt idx="10">
                  <c:v>2.95766918555845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"S-3 实测"</c:f>
              <c:strCache>
                <c:ptCount val="1"/>
                <c:pt idx="0">
                  <c:v>S-3 实测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triangle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四端法拟合图!$A$7:$A$17</c:f>
              <c:strCache>
                <c:ptCount val="11"/>
                <c:pt idx="0" c:formatCode="0.00">
                  <c:v>0.00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80.00</c:v>
                </c:pt>
                <c:pt idx="9" c:formatCode="0.00">
                  <c:v>89.99</c:v>
                </c:pt>
                <c:pt idx="10" c:formatCode="0.00">
                  <c:v>100.03</c:v>
                </c:pt>
              </c:strCache>
            </c:strRef>
          </c:cat>
          <c:val>
            <c:numRef>
              <c:f>四端法拟合图!$F$7:$F$17</c:f>
              <c:numCache>
                <c:formatCode>0.00</c:formatCode>
                <c:ptCount val="11"/>
                <c:pt idx="0">
                  <c:v>0</c:v>
                </c:pt>
                <c:pt idx="1">
                  <c:v>1.01</c:v>
                </c:pt>
                <c:pt idx="2">
                  <c:v>2.02</c:v>
                </c:pt>
                <c:pt idx="3">
                  <c:v>3.01</c:v>
                </c:pt>
                <c:pt idx="4">
                  <c:v>4.02</c:v>
                </c:pt>
                <c:pt idx="5">
                  <c:v>5.02</c:v>
                </c:pt>
                <c:pt idx="6">
                  <c:v>6.04</c:v>
                </c:pt>
                <c:pt idx="7">
                  <c:v>7.04</c:v>
                </c:pt>
                <c:pt idx="8">
                  <c:v>8.04</c:v>
                </c:pt>
                <c:pt idx="9">
                  <c:v>9.05</c:v>
                </c:pt>
                <c:pt idx="10">
                  <c:v>10.05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"S-3 拟合"</c:f>
              <c:strCache>
                <c:ptCount val="1"/>
                <c:pt idx="0">
                  <c:v>S-3 拟合</c:v>
                </c:pt>
              </c:strCache>
            </c:strRef>
          </c:tx>
          <c:spPr>
            <a:ln w="22000" cap="rnd" cmpd="sng" algn="ctr">
              <a:solidFill>
                <a:srgbClr val="9BBB59"/>
              </a:solidFill>
              <a:prstDash val="dashDot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四端法拟合图!$A$7:$A$17</c:f>
              <c:strCache>
                <c:ptCount val="11"/>
                <c:pt idx="0" c:formatCode="0.00">
                  <c:v>0.00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80.00</c:v>
                </c:pt>
                <c:pt idx="9" c:formatCode="0.00">
                  <c:v>89.99</c:v>
                </c:pt>
                <c:pt idx="10" c:formatCode="0.00">
                  <c:v>100.03</c:v>
                </c:pt>
              </c:strCache>
            </c:strRef>
          </c:cat>
          <c:val>
            <c:numRef>
              <c:f>四端法拟合图!$G$7:$G$17</c:f>
              <c:numCache>
                <c:formatCode>0.00</c:formatCode>
                <c:ptCount val="11"/>
                <c:pt idx="0">
                  <c:v>0.000398350002812187</c:v>
                </c:pt>
                <c:pt idx="1">
                  <c:v>1.00646763346282</c:v>
                </c:pt>
                <c:pt idx="2">
                  <c:v>2.0145470453613</c:v>
                </c:pt>
                <c:pt idx="3">
                  <c:v>3.01458594350586</c:v>
                </c:pt>
                <c:pt idx="4">
                  <c:v>4.02467548384283</c:v>
                </c:pt>
                <c:pt idx="5">
                  <c:v>5.02471438198739</c:v>
                </c:pt>
                <c:pt idx="6">
                  <c:v>6.03882417920132</c:v>
                </c:pt>
                <c:pt idx="7">
                  <c:v>7.0368529489074</c:v>
                </c:pt>
                <c:pt idx="8">
                  <c:v>8.04191716814816</c:v>
                </c:pt>
                <c:pt idx="9">
                  <c:v>9.04798645160816</c:v>
                </c:pt>
                <c:pt idx="10">
                  <c:v>10.049030413972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电流 I (mA)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1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电压 U (mV)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  <c:majorUnit val="1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8280000" cy="4375200"/>
    <xdr:graphicFrame>
      <xdr:nvGraphicFramePr>
        <xdr:cNvPr id="2" name="Chart 1"/>
        <xdr:cNvGraphicFramePr/>
      </xdr:nvGraphicFramePr>
      <xdr:xfrm>
        <a:off x="10477500" y="177800"/>
        <a:ext cx="8279765" cy="437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7" outlineLevelCol="6"/>
  <cols>
    <col min="1" max="1" width="14" customWidth="1"/>
    <col min="2" max="2" width="18" customWidth="1"/>
    <col min="3" max="3" width="24" customWidth="1"/>
    <col min="4" max="5" width="16" customWidth="1"/>
    <col min="6" max="6" width="18" customWidth="1"/>
    <col min="7" max="7" width="3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19">
        <v>0.00141152291171385</v>
      </c>
      <c r="E2" s="2"/>
      <c r="F2" s="2"/>
      <c r="G2" s="2" t="s">
        <v>10</v>
      </c>
    </row>
    <row r="3" spans="1:7">
      <c r="A3" s="2" t="s">
        <v>7</v>
      </c>
      <c r="B3" s="2" t="s">
        <v>11</v>
      </c>
      <c r="C3" s="2" t="s">
        <v>12</v>
      </c>
      <c r="D3" s="19">
        <v>0.0012693614945257</v>
      </c>
      <c r="E3" s="2"/>
      <c r="F3" s="2"/>
      <c r="G3" s="2" t="s">
        <v>13</v>
      </c>
    </row>
    <row r="4" spans="1:7">
      <c r="A4" s="2" t="s">
        <v>7</v>
      </c>
      <c r="B4" s="2" t="s">
        <v>14</v>
      </c>
      <c r="C4" s="2" t="s">
        <v>15</v>
      </c>
      <c r="D4" s="19">
        <v>0.00135505813251911</v>
      </c>
      <c r="E4" s="2"/>
      <c r="F4" s="2"/>
      <c r="G4" s="2" t="s">
        <v>10</v>
      </c>
    </row>
    <row r="5" spans="1:7">
      <c r="A5" s="2"/>
      <c r="B5" s="2"/>
      <c r="C5" s="2"/>
      <c r="D5" s="2"/>
      <c r="E5" s="2"/>
      <c r="F5" s="2"/>
      <c r="G5" s="2"/>
    </row>
    <row r="6" spans="1:7">
      <c r="A6" s="2" t="s">
        <v>16</v>
      </c>
      <c r="B6" s="2" t="s">
        <v>17</v>
      </c>
      <c r="C6" s="2"/>
      <c r="D6" s="2"/>
      <c r="E6" s="5">
        <v>0.0463717542772597</v>
      </c>
      <c r="F6" s="7">
        <v>6.56683488383085e-7</v>
      </c>
      <c r="G6" s="2" t="s">
        <v>18</v>
      </c>
    </row>
    <row r="7" spans="1:7">
      <c r="A7" s="2" t="s">
        <v>16</v>
      </c>
      <c r="B7" s="2" t="s">
        <v>19</v>
      </c>
      <c r="C7" s="2"/>
      <c r="D7" s="2"/>
      <c r="E7" s="5">
        <v>0.0296108672258506</v>
      </c>
      <c r="F7" s="7">
        <v>4.2598373404075e-7</v>
      </c>
      <c r="G7" s="2" t="s">
        <v>20</v>
      </c>
    </row>
    <row r="8" spans="1:7">
      <c r="A8" s="2" t="s">
        <v>16</v>
      </c>
      <c r="B8" s="2" t="s">
        <v>21</v>
      </c>
      <c r="C8" s="2"/>
      <c r="D8" s="2"/>
      <c r="E8" s="5">
        <v>0.100506421924076</v>
      </c>
      <c r="F8" s="7">
        <v>1.13572247130369e-6</v>
      </c>
      <c r="G8" s="2" t="s">
        <v>22</v>
      </c>
    </row>
  </sheetData>
  <pageMargins left="0.75" right="0.7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7"/>
  <sheetViews>
    <sheetView showGridLines="0" tabSelected="1" zoomScale="85" zoomScaleNormal="85" workbookViewId="0">
      <pane ySplit="1" topLeftCell="A2" activePane="bottomLeft" state="frozen"/>
      <selection/>
      <selection pane="bottomLeft" activeCell="T13" sqref="T13"/>
    </sheetView>
  </sheetViews>
  <sheetFormatPr defaultColWidth="9" defaultRowHeight="14"/>
  <cols>
    <col min="1" max="1" width="14.7545454545455" customWidth="1"/>
    <col min="2" max="2" width="12.1909090909091" customWidth="1"/>
    <col min="3" max="7" width="12" customWidth="1"/>
    <col min="8" max="10" width="10" customWidth="1"/>
    <col min="11" max="11" width="8.98181818181818" customWidth="1"/>
    <col min="12" max="12" width="9.82727272727273" customWidth="1"/>
    <col min="13" max="16" width="12" customWidth="1"/>
    <col min="17" max="18" width="14" customWidth="1"/>
    <col min="19" max="19" width="12" customWidth="1"/>
    <col min="20" max="20" width="24" customWidth="1"/>
  </cols>
  <sheetData>
    <row r="1" spans="1:2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2" t="s">
        <v>8</v>
      </c>
      <c r="B2" s="2" t="s">
        <v>33</v>
      </c>
      <c r="C2" s="13">
        <v>10000</v>
      </c>
      <c r="D2" s="13">
        <v>100</v>
      </c>
      <c r="E2" s="14">
        <v>1100.3</v>
      </c>
      <c r="F2" s="14">
        <v>1100.4</v>
      </c>
      <c r="G2" s="14">
        <v>1099.9</v>
      </c>
      <c r="H2" s="11">
        <v>9.366</v>
      </c>
      <c r="I2" s="11">
        <v>0.1</v>
      </c>
      <c r="J2" s="11">
        <v>0.09</v>
      </c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>
      <c r="A3" s="15" t="s">
        <v>34</v>
      </c>
      <c r="B3" s="15" t="s">
        <v>35</v>
      </c>
      <c r="C3" s="16">
        <v>1000</v>
      </c>
      <c r="D3" s="16">
        <v>1000</v>
      </c>
      <c r="E3" s="17">
        <v>911.9</v>
      </c>
      <c r="F3" s="17">
        <v>911.9</v>
      </c>
      <c r="G3" s="17">
        <v>912</v>
      </c>
      <c r="H3" s="18">
        <v>5.451</v>
      </c>
      <c r="I3" s="18">
        <v>0.1</v>
      </c>
      <c r="J3" s="18">
        <v>0.14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15" t="s">
        <v>36</v>
      </c>
      <c r="B4" s="15" t="s">
        <v>10</v>
      </c>
      <c r="C4" s="16" t="s">
        <v>10</v>
      </c>
      <c r="D4" s="16" t="s">
        <v>10</v>
      </c>
      <c r="E4" s="17">
        <v>912.1</v>
      </c>
      <c r="F4" s="17">
        <v>912.1</v>
      </c>
      <c r="G4" s="17">
        <v>912.2</v>
      </c>
      <c r="H4" s="18" t="s">
        <v>10</v>
      </c>
      <c r="I4" s="18" t="s">
        <v>10</v>
      </c>
      <c r="J4" s="18" t="s">
        <v>10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2" t="s">
        <v>14</v>
      </c>
      <c r="B5" s="2" t="s">
        <v>37</v>
      </c>
      <c r="C5" s="13">
        <v>100</v>
      </c>
      <c r="D5" s="13">
        <v>1000</v>
      </c>
      <c r="E5" s="14">
        <v>509.2</v>
      </c>
      <c r="F5" s="14">
        <v>509.3</v>
      </c>
      <c r="G5" s="14">
        <v>509.3</v>
      </c>
      <c r="H5" s="11">
        <v>17.79</v>
      </c>
      <c r="I5" s="11">
        <v>0.1</v>
      </c>
      <c r="J5" s="11">
        <v>0.11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1" t="s">
        <v>23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47</v>
      </c>
      <c r="L7" s="1" t="s">
        <v>48</v>
      </c>
      <c r="M7" s="1" t="s">
        <v>49</v>
      </c>
      <c r="N7" s="1" t="s">
        <v>50</v>
      </c>
      <c r="O7" s="1" t="s">
        <v>51</v>
      </c>
      <c r="P7" s="1" t="s">
        <v>52</v>
      </c>
      <c r="Q7" s="1" t="s">
        <v>53</v>
      </c>
      <c r="R7" s="1" t="s">
        <v>54</v>
      </c>
      <c r="S7" s="1" t="s">
        <v>55</v>
      </c>
      <c r="T7" s="1" t="s">
        <v>56</v>
      </c>
    </row>
    <row r="8" spans="1:20">
      <c r="A8" s="2" t="s">
        <v>8</v>
      </c>
      <c r="B8" s="2">
        <v>3</v>
      </c>
      <c r="C8" s="14">
        <v>1100.2</v>
      </c>
      <c r="D8" s="11">
        <v>0.264575131106433</v>
      </c>
      <c r="E8" s="11">
        <v>2.48</v>
      </c>
      <c r="F8" s="11">
        <v>0.656146325143955</v>
      </c>
      <c r="G8" s="11">
        <v>1.126</v>
      </c>
      <c r="H8" s="11">
        <v>1.128</v>
      </c>
      <c r="I8" s="11">
        <v>1.173</v>
      </c>
      <c r="J8" s="11" t="s">
        <v>10</v>
      </c>
      <c r="K8" s="11" t="s">
        <v>10</v>
      </c>
      <c r="L8" s="11" t="s">
        <v>10</v>
      </c>
      <c r="M8" s="11">
        <v>1.173</v>
      </c>
      <c r="N8" s="11">
        <v>1.3440450141271</v>
      </c>
      <c r="O8" s="19">
        <v>0.00122163698793592</v>
      </c>
      <c r="P8" s="14">
        <v>100</v>
      </c>
      <c r="Q8" s="14">
        <v>110020</v>
      </c>
      <c r="R8" s="19">
        <v>0.00141152291171385</v>
      </c>
      <c r="S8" s="11">
        <v>155.295750746758</v>
      </c>
      <c r="T8" s="2" t="s">
        <v>9</v>
      </c>
    </row>
    <row r="9" spans="1:20">
      <c r="A9" s="2" t="s">
        <v>34</v>
      </c>
      <c r="B9" s="2">
        <v>3</v>
      </c>
      <c r="C9" s="14">
        <v>911.933333333333</v>
      </c>
      <c r="D9" s="11">
        <v>0.0577350269189757</v>
      </c>
      <c r="E9" s="11">
        <v>2.48</v>
      </c>
      <c r="F9" s="11">
        <v>0.14318286675906</v>
      </c>
      <c r="G9" s="11">
        <v>0.953</v>
      </c>
      <c r="H9" s="11">
        <v>0.953</v>
      </c>
      <c r="I9" s="11">
        <v>0.94</v>
      </c>
      <c r="J9" s="11" t="s">
        <v>10</v>
      </c>
      <c r="K9" s="11" t="s">
        <v>10</v>
      </c>
      <c r="L9" s="11" t="s">
        <v>10</v>
      </c>
      <c r="M9" s="11">
        <v>0.953</v>
      </c>
      <c r="N9" s="11">
        <v>0.96369618310614</v>
      </c>
      <c r="O9" s="19">
        <v>0.00105676165995995</v>
      </c>
      <c r="P9" s="14">
        <v>1</v>
      </c>
      <c r="Q9" s="14">
        <v>911.933333333333</v>
      </c>
      <c r="R9" s="19">
        <v>0.0012715129594154</v>
      </c>
      <c r="S9" s="11">
        <v>1.15953505145621</v>
      </c>
      <c r="T9" s="2" t="s">
        <v>57</v>
      </c>
    </row>
    <row r="10" spans="1:20">
      <c r="A10" s="2" t="s">
        <v>36</v>
      </c>
      <c r="B10" s="2">
        <v>3</v>
      </c>
      <c r="C10" s="14">
        <v>912.133333333333</v>
      </c>
      <c r="D10" s="11">
        <v>0.0577350269189757</v>
      </c>
      <c r="E10" s="11">
        <v>2.48</v>
      </c>
      <c r="F10" s="11">
        <v>0.14318286675906</v>
      </c>
      <c r="G10" s="11">
        <v>0.942</v>
      </c>
      <c r="H10" s="11">
        <v>0.942</v>
      </c>
      <c r="I10" s="11">
        <v>0.944</v>
      </c>
      <c r="J10" s="11" t="s">
        <v>10</v>
      </c>
      <c r="K10" s="11" t="s">
        <v>10</v>
      </c>
      <c r="L10" s="11" t="s">
        <v>10</v>
      </c>
      <c r="M10" s="11">
        <v>0.944</v>
      </c>
      <c r="N10" s="11">
        <v>0.954797011585888</v>
      </c>
      <c r="O10" s="19">
        <v>0.00104677351072857</v>
      </c>
      <c r="P10" s="14">
        <v>1</v>
      </c>
      <c r="Q10" s="14">
        <v>912.133333333333</v>
      </c>
      <c r="R10" s="19">
        <v>0.00126322396381759</v>
      </c>
      <c r="S10" s="11">
        <v>1.15222868486348</v>
      </c>
      <c r="T10" s="2" t="s">
        <v>58</v>
      </c>
    </row>
    <row r="11" spans="1:20">
      <c r="A11" s="2" t="s">
        <v>59</v>
      </c>
      <c r="B11" s="2">
        <v>6</v>
      </c>
      <c r="C11" s="14">
        <v>912.033333333333</v>
      </c>
      <c r="D11" s="11">
        <v>0.121106014163927</v>
      </c>
      <c r="E11" s="11">
        <v>1.04960635478259</v>
      </c>
      <c r="F11" s="11">
        <v>0.127113642068849</v>
      </c>
      <c r="G11" s="11">
        <v>0.953</v>
      </c>
      <c r="H11" s="11">
        <v>0.953</v>
      </c>
      <c r="I11" s="11">
        <v>0.94</v>
      </c>
      <c r="J11" s="11">
        <v>0.942</v>
      </c>
      <c r="K11" s="11">
        <v>0.942</v>
      </c>
      <c r="L11" s="11">
        <v>0.944</v>
      </c>
      <c r="M11" s="11">
        <v>0.953</v>
      </c>
      <c r="N11" s="11">
        <v>0.961440002288238</v>
      </c>
      <c r="O11" s="19">
        <v>0.00105417199914649</v>
      </c>
      <c r="P11" s="14">
        <v>1</v>
      </c>
      <c r="Q11" s="14">
        <v>912.033333333333</v>
      </c>
      <c r="R11" s="19">
        <v>0.0012693614945257</v>
      </c>
      <c r="S11" s="11">
        <v>1.15769999505725</v>
      </c>
      <c r="T11" s="2" t="s">
        <v>12</v>
      </c>
    </row>
    <row r="12" spans="1:20">
      <c r="A12" s="2" t="s">
        <v>14</v>
      </c>
      <c r="B12" s="2">
        <v>3</v>
      </c>
      <c r="C12" s="14">
        <v>509.266666666667</v>
      </c>
      <c r="D12" s="11">
        <v>0.0577350269189757</v>
      </c>
      <c r="E12" s="11">
        <v>2.48</v>
      </c>
      <c r="F12" s="11">
        <v>0.14318286675906</v>
      </c>
      <c r="G12" s="11">
        <v>0.569</v>
      </c>
      <c r="H12" s="11">
        <v>0.571</v>
      </c>
      <c r="I12" s="11">
        <v>0.571</v>
      </c>
      <c r="J12" s="11" t="s">
        <v>10</v>
      </c>
      <c r="K12" s="11" t="s">
        <v>10</v>
      </c>
      <c r="L12" s="11" t="s">
        <v>10</v>
      </c>
      <c r="M12" s="11">
        <v>0.571</v>
      </c>
      <c r="N12" s="11">
        <v>0.588678463452964</v>
      </c>
      <c r="O12" s="19">
        <v>0.00115593362374584</v>
      </c>
      <c r="P12" s="14">
        <v>0.1</v>
      </c>
      <c r="Q12" s="14">
        <v>50.9266666666667</v>
      </c>
      <c r="R12" s="19">
        <v>0.00135505813251911</v>
      </c>
      <c r="S12" s="11">
        <v>0.0690085938287567</v>
      </c>
      <c r="T12" s="2" t="s">
        <v>15</v>
      </c>
    </row>
    <row r="13" spans="1:2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1" t="s">
        <v>60</v>
      </c>
      <c r="B14" s="1" t="s">
        <v>61</v>
      </c>
      <c r="C14" s="1" t="s">
        <v>32</v>
      </c>
      <c r="D14" s="1" t="s">
        <v>62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2" t="s">
        <v>8</v>
      </c>
      <c r="B15" s="11">
        <v>990.18</v>
      </c>
      <c r="C15" s="11">
        <v>0.09</v>
      </c>
      <c r="D15" s="6">
        <v>9.0892564988184e-5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2" t="s">
        <v>63</v>
      </c>
      <c r="B16" s="11">
        <v>1276.84666666667</v>
      </c>
      <c r="C16" s="11">
        <v>0.14</v>
      </c>
      <c r="D16" s="6">
        <v>0.000109645115310113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2" t="s">
        <v>14</v>
      </c>
      <c r="B17" s="11">
        <v>560.193333333333</v>
      </c>
      <c r="C17" s="11">
        <v>0.11</v>
      </c>
      <c r="D17" s="6">
        <v>0.000196360780206833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</sheetData>
  <pageMargins left="0.75" right="0.75" top="1" bottom="1" header="0.5" footer="0.5"/>
  <pageSetup paperSize="1" scale="4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0" customWidth="1"/>
    <col min="2" max="2" width="8" customWidth="1"/>
    <col min="3" max="4" width="12" customWidth="1"/>
    <col min="5" max="6" width="14" customWidth="1"/>
  </cols>
  <sheetData>
    <row r="1" spans="1:6">
      <c r="A1" s="1" t="s">
        <v>64</v>
      </c>
      <c r="B1" s="1" t="s">
        <v>65</v>
      </c>
      <c r="C1" s="1" t="s">
        <v>30</v>
      </c>
      <c r="D1" s="1" t="s">
        <v>66</v>
      </c>
      <c r="E1" s="1" t="s">
        <v>67</v>
      </c>
      <c r="F1" s="1" t="s">
        <v>68</v>
      </c>
    </row>
    <row r="2" spans="1:6">
      <c r="A2" s="2" t="s">
        <v>17</v>
      </c>
      <c r="B2" s="2">
        <v>0</v>
      </c>
      <c r="C2" s="8">
        <v>0</v>
      </c>
      <c r="D2" s="8">
        <v>0</v>
      </c>
      <c r="E2" s="11">
        <v>0.506</v>
      </c>
      <c r="F2" s="8">
        <v>14.2</v>
      </c>
    </row>
    <row r="3" spans="1:6">
      <c r="A3" s="2" t="s">
        <v>17</v>
      </c>
      <c r="B3" s="2">
        <v>1</v>
      </c>
      <c r="C3" s="8">
        <v>10.03</v>
      </c>
      <c r="D3" s="8">
        <v>0.46</v>
      </c>
      <c r="E3" s="11">
        <v>0.506</v>
      </c>
      <c r="F3" s="8">
        <v>14.2</v>
      </c>
    </row>
    <row r="4" spans="1:6">
      <c r="A4" s="2" t="s">
        <v>17</v>
      </c>
      <c r="B4" s="2">
        <v>2</v>
      </c>
      <c r="C4" s="8">
        <v>20.09</v>
      </c>
      <c r="D4" s="8">
        <v>0.92</v>
      </c>
      <c r="E4" s="11">
        <v>0.506</v>
      </c>
      <c r="F4" s="8">
        <v>14.2</v>
      </c>
    </row>
    <row r="5" spans="1:6">
      <c r="A5" s="2" t="s">
        <v>17</v>
      </c>
      <c r="B5" s="2">
        <v>3</v>
      </c>
      <c r="C5" s="8">
        <v>29.99</v>
      </c>
      <c r="D5" s="8">
        <v>1.38</v>
      </c>
      <c r="E5" s="11">
        <v>0.506</v>
      </c>
      <c r="F5" s="8">
        <v>14.2</v>
      </c>
    </row>
    <row r="6" spans="1:6">
      <c r="A6" s="2" t="s">
        <v>17</v>
      </c>
      <c r="B6" s="2">
        <v>4</v>
      </c>
      <c r="C6" s="8">
        <v>39.98</v>
      </c>
      <c r="D6" s="8">
        <v>1.85</v>
      </c>
      <c r="E6" s="11">
        <v>0.506</v>
      </c>
      <c r="F6" s="8">
        <v>14.2</v>
      </c>
    </row>
    <row r="7" spans="1:6">
      <c r="A7" s="2" t="s">
        <v>17</v>
      </c>
      <c r="B7" s="2">
        <v>5</v>
      </c>
      <c r="C7" s="8">
        <v>50.09</v>
      </c>
      <c r="D7" s="8">
        <v>2.28</v>
      </c>
      <c r="E7" s="11">
        <v>0.506</v>
      </c>
      <c r="F7" s="8">
        <v>14.2</v>
      </c>
    </row>
    <row r="8" spans="1:6">
      <c r="A8" s="2" t="s">
        <v>17</v>
      </c>
      <c r="B8" s="2">
        <v>6</v>
      </c>
      <c r="C8" s="8">
        <v>60.02</v>
      </c>
      <c r="D8" s="8">
        <v>2.76</v>
      </c>
      <c r="E8" s="11">
        <v>0.506</v>
      </c>
      <c r="F8" s="8">
        <v>14.2</v>
      </c>
    </row>
    <row r="9" spans="1:6">
      <c r="A9" s="2" t="s">
        <v>17</v>
      </c>
      <c r="B9" s="2">
        <v>7</v>
      </c>
      <c r="C9" s="8">
        <v>70.01</v>
      </c>
      <c r="D9" s="8">
        <v>3.32</v>
      </c>
      <c r="E9" s="11">
        <v>0.506</v>
      </c>
      <c r="F9" s="8">
        <v>14.2</v>
      </c>
    </row>
    <row r="10" spans="1:6">
      <c r="A10" s="2" t="s">
        <v>17</v>
      </c>
      <c r="B10" s="2">
        <v>8</v>
      </c>
      <c r="C10" s="8">
        <v>80</v>
      </c>
      <c r="D10" s="8">
        <v>3.69</v>
      </c>
      <c r="E10" s="11">
        <v>0.506</v>
      </c>
      <c r="F10" s="8">
        <v>14.2</v>
      </c>
    </row>
    <row r="11" spans="1:6">
      <c r="A11" s="2" t="s">
        <v>17</v>
      </c>
      <c r="B11" s="2">
        <v>9</v>
      </c>
      <c r="C11" s="8">
        <v>89.99</v>
      </c>
      <c r="D11" s="8">
        <v>4.16</v>
      </c>
      <c r="E11" s="11">
        <v>0.506</v>
      </c>
      <c r="F11" s="8">
        <v>14.2</v>
      </c>
    </row>
    <row r="12" spans="1:6">
      <c r="A12" s="2" t="s">
        <v>17</v>
      </c>
      <c r="B12" s="2">
        <v>10</v>
      </c>
      <c r="C12" s="8">
        <v>100.03</v>
      </c>
      <c r="D12" s="8">
        <v>4.62</v>
      </c>
      <c r="E12" s="11">
        <v>0.506</v>
      </c>
      <c r="F12" s="8">
        <v>14.2</v>
      </c>
    </row>
    <row r="13" spans="1:6">
      <c r="A13" s="2" t="s">
        <v>19</v>
      </c>
      <c r="B13" s="2">
        <v>0</v>
      </c>
      <c r="C13" s="8">
        <v>0</v>
      </c>
      <c r="D13" s="8">
        <v>0</v>
      </c>
      <c r="E13" s="11">
        <v>0.51</v>
      </c>
      <c r="F13" s="8">
        <v>14.2</v>
      </c>
    </row>
    <row r="14" spans="1:6">
      <c r="A14" s="2" t="s">
        <v>19</v>
      </c>
      <c r="B14" s="2">
        <v>1</v>
      </c>
      <c r="C14" s="8">
        <v>10.18</v>
      </c>
      <c r="D14" s="8">
        <v>0.3</v>
      </c>
      <c r="E14" s="11">
        <v>0.51</v>
      </c>
      <c r="F14" s="8">
        <v>14.2</v>
      </c>
    </row>
    <row r="15" spans="1:6">
      <c r="A15" s="2" t="s">
        <v>19</v>
      </c>
      <c r="B15" s="2">
        <v>2</v>
      </c>
      <c r="C15" s="8">
        <v>19.99</v>
      </c>
      <c r="D15" s="8">
        <v>0.58</v>
      </c>
      <c r="E15" s="11">
        <v>0.51</v>
      </c>
      <c r="F15" s="8">
        <v>14.2</v>
      </c>
    </row>
    <row r="16" spans="1:6">
      <c r="A16" s="2" t="s">
        <v>19</v>
      </c>
      <c r="B16" s="2">
        <v>3</v>
      </c>
      <c r="C16" s="8">
        <v>30.03</v>
      </c>
      <c r="D16" s="8">
        <v>0.89</v>
      </c>
      <c r="E16" s="11">
        <v>0.51</v>
      </c>
      <c r="F16" s="8">
        <v>14.2</v>
      </c>
    </row>
    <row r="17" spans="1:6">
      <c r="A17" s="2" t="s">
        <v>19</v>
      </c>
      <c r="B17" s="2">
        <v>4</v>
      </c>
      <c r="C17" s="8">
        <v>39.94</v>
      </c>
      <c r="D17" s="8">
        <v>1.18</v>
      </c>
      <c r="E17" s="11">
        <v>0.51</v>
      </c>
      <c r="F17" s="8">
        <v>14.2</v>
      </c>
    </row>
    <row r="18" spans="1:6">
      <c r="A18" s="2" t="s">
        <v>19</v>
      </c>
      <c r="B18" s="2">
        <v>5</v>
      </c>
      <c r="C18" s="8">
        <v>49.97</v>
      </c>
      <c r="D18" s="8">
        <v>1.48</v>
      </c>
      <c r="E18" s="11">
        <v>0.51</v>
      </c>
      <c r="F18" s="8">
        <v>14.2</v>
      </c>
    </row>
    <row r="19" spans="1:6">
      <c r="A19" s="2" t="s">
        <v>19</v>
      </c>
      <c r="B19" s="2">
        <v>6</v>
      </c>
      <c r="C19" s="12">
        <v>59.88</v>
      </c>
      <c r="D19" s="8">
        <v>1.77</v>
      </c>
      <c r="E19" s="11">
        <v>0.51</v>
      </c>
      <c r="F19" s="8">
        <v>14.2</v>
      </c>
    </row>
    <row r="20" spans="1:6">
      <c r="A20" s="2" t="s">
        <v>19</v>
      </c>
      <c r="B20" s="2">
        <v>7</v>
      </c>
      <c r="C20" s="12">
        <v>70.06</v>
      </c>
      <c r="D20" s="8">
        <v>2.1</v>
      </c>
      <c r="E20" s="11">
        <v>0.51</v>
      </c>
      <c r="F20" s="8">
        <v>14.2</v>
      </c>
    </row>
    <row r="21" spans="1:6">
      <c r="A21" s="2" t="s">
        <v>19</v>
      </c>
      <c r="B21" s="2">
        <v>8</v>
      </c>
      <c r="C21" s="8">
        <v>79.95</v>
      </c>
      <c r="D21" s="8">
        <v>2.36</v>
      </c>
      <c r="E21" s="11">
        <v>0.51</v>
      </c>
      <c r="F21" s="8">
        <v>14.2</v>
      </c>
    </row>
    <row r="22" spans="1:6">
      <c r="A22" s="2" t="s">
        <v>19</v>
      </c>
      <c r="B22" s="2">
        <v>9</v>
      </c>
      <c r="C22" s="8">
        <v>90.03</v>
      </c>
      <c r="D22" s="8">
        <v>2.66</v>
      </c>
      <c r="E22" s="11">
        <v>0.51</v>
      </c>
      <c r="F22" s="8">
        <v>14.2</v>
      </c>
    </row>
    <row r="23" spans="1:6">
      <c r="A23" s="2" t="s">
        <v>19</v>
      </c>
      <c r="B23" s="2">
        <v>10</v>
      </c>
      <c r="C23" s="8">
        <v>99.93</v>
      </c>
      <c r="D23" s="8">
        <v>2.95</v>
      </c>
      <c r="E23" s="11">
        <v>0.51</v>
      </c>
      <c r="F23" s="8">
        <v>14.2</v>
      </c>
    </row>
    <row r="24" spans="1:6">
      <c r="A24" s="2" t="s">
        <v>21</v>
      </c>
      <c r="B24" s="2">
        <v>0</v>
      </c>
      <c r="C24" s="8">
        <v>0</v>
      </c>
      <c r="D24" s="8">
        <v>0</v>
      </c>
      <c r="E24" s="11">
        <v>0.452</v>
      </c>
      <c r="F24" s="8">
        <v>14.2</v>
      </c>
    </row>
    <row r="25" spans="1:6">
      <c r="A25" s="2" t="s">
        <v>21</v>
      </c>
      <c r="B25" s="2">
        <v>1</v>
      </c>
      <c r="C25" s="8">
        <v>10.01</v>
      </c>
      <c r="D25" s="8">
        <v>1.01</v>
      </c>
      <c r="E25" s="11">
        <v>0.452</v>
      </c>
      <c r="F25" s="8">
        <v>14.2</v>
      </c>
    </row>
    <row r="26" spans="1:6">
      <c r="A26" s="2" t="s">
        <v>21</v>
      </c>
      <c r="B26" s="2">
        <v>2</v>
      </c>
      <c r="C26" s="8">
        <v>20.04</v>
      </c>
      <c r="D26" s="8">
        <v>2.02</v>
      </c>
      <c r="E26" s="11">
        <v>0.452</v>
      </c>
      <c r="F26" s="8">
        <v>14.2</v>
      </c>
    </row>
    <row r="27" spans="1:6">
      <c r="A27" s="2" t="s">
        <v>21</v>
      </c>
      <c r="B27" s="2">
        <v>3</v>
      </c>
      <c r="C27" s="8">
        <v>29.99</v>
      </c>
      <c r="D27" s="8">
        <v>3.01</v>
      </c>
      <c r="E27" s="11">
        <v>0.452</v>
      </c>
      <c r="F27" s="8">
        <v>14.2</v>
      </c>
    </row>
    <row r="28" spans="1:6">
      <c r="A28" s="2" t="s">
        <v>21</v>
      </c>
      <c r="B28" s="2">
        <v>4</v>
      </c>
      <c r="C28" s="8">
        <v>40.04</v>
      </c>
      <c r="D28" s="8">
        <v>4.02</v>
      </c>
      <c r="E28" s="11">
        <v>0.452</v>
      </c>
      <c r="F28" s="8">
        <v>14.2</v>
      </c>
    </row>
    <row r="29" spans="1:6">
      <c r="A29" s="2" t="s">
        <v>21</v>
      </c>
      <c r="B29" s="2">
        <v>5</v>
      </c>
      <c r="C29" s="8">
        <v>49.99</v>
      </c>
      <c r="D29" s="8">
        <v>5.02</v>
      </c>
      <c r="E29" s="11">
        <v>0.452</v>
      </c>
      <c r="F29" s="8">
        <v>14.2</v>
      </c>
    </row>
    <row r="30" spans="1:6">
      <c r="A30" s="2" t="s">
        <v>21</v>
      </c>
      <c r="B30" s="2">
        <v>6</v>
      </c>
      <c r="C30" s="12">
        <v>60.08</v>
      </c>
      <c r="D30" s="8">
        <v>6.04</v>
      </c>
      <c r="E30" s="11">
        <v>0.452</v>
      </c>
      <c r="F30" s="8">
        <v>14.2</v>
      </c>
    </row>
    <row r="31" spans="1:6">
      <c r="A31" s="2" t="s">
        <v>21</v>
      </c>
      <c r="B31" s="2">
        <v>7</v>
      </c>
      <c r="C31" s="8">
        <v>70.01</v>
      </c>
      <c r="D31" s="8">
        <v>7.04</v>
      </c>
      <c r="E31" s="11">
        <v>0.452</v>
      </c>
      <c r="F31" s="8">
        <v>14.2</v>
      </c>
    </row>
    <row r="32" spans="1:6">
      <c r="A32" s="2" t="s">
        <v>21</v>
      </c>
      <c r="B32" s="2">
        <v>8</v>
      </c>
      <c r="C32" s="8">
        <v>80.01</v>
      </c>
      <c r="D32" s="8">
        <v>8.04</v>
      </c>
      <c r="E32" s="11">
        <v>0.452</v>
      </c>
      <c r="F32" s="8">
        <v>14.2</v>
      </c>
    </row>
    <row r="33" spans="1:6">
      <c r="A33" s="2" t="s">
        <v>21</v>
      </c>
      <c r="B33" s="2">
        <v>9</v>
      </c>
      <c r="C33" s="8">
        <v>90.02</v>
      </c>
      <c r="D33" s="8">
        <v>9.05</v>
      </c>
      <c r="E33" s="11">
        <v>0.452</v>
      </c>
      <c r="F33" s="8">
        <v>14.2</v>
      </c>
    </row>
    <row r="34" spans="1:6">
      <c r="A34" s="2" t="s">
        <v>21</v>
      </c>
      <c r="B34" s="2">
        <v>10</v>
      </c>
      <c r="C34" s="8">
        <v>99.98</v>
      </c>
      <c r="D34" s="8">
        <v>10.05</v>
      </c>
      <c r="E34" s="11">
        <v>0.452</v>
      </c>
      <c r="F34" s="8">
        <v>14.2</v>
      </c>
    </row>
  </sheetData>
  <pageMargins left="0.75" right="0.7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1" width="14" customWidth="1"/>
    <col min="2" max="2" width="26" customWidth="1"/>
    <col min="3" max="4" width="14" customWidth="1"/>
    <col min="5" max="5" width="26" customWidth="1"/>
    <col min="6" max="6" width="16" customWidth="1"/>
    <col min="7" max="7" width="14" customWidth="1"/>
    <col min="8" max="8" width="26" customWidth="1"/>
    <col min="9" max="15" width="12" customWidth="1"/>
  </cols>
  <sheetData>
    <row r="1" spans="1:8">
      <c r="A1" s="1" t="s">
        <v>64</v>
      </c>
      <c r="B1" s="1" t="s">
        <v>4</v>
      </c>
      <c r="C1" s="1" t="s">
        <v>69</v>
      </c>
      <c r="D1" s="1" t="s">
        <v>70</v>
      </c>
      <c r="E1" s="1" t="s">
        <v>71</v>
      </c>
      <c r="F1" s="1" t="s">
        <v>5</v>
      </c>
      <c r="G1" s="1" t="s">
        <v>72</v>
      </c>
      <c r="H1" s="4"/>
    </row>
    <row r="2" spans="1:8">
      <c r="A2" s="2" t="s">
        <v>17</v>
      </c>
      <c r="B2" s="5">
        <v>0.0463717542772597</v>
      </c>
      <c r="C2" s="5">
        <v>-0.0068300323615107</v>
      </c>
      <c r="D2" s="6">
        <v>0.999642622639444</v>
      </c>
      <c r="E2" s="7">
        <v>2.01090204163629e-7</v>
      </c>
      <c r="F2" s="7">
        <v>6.56683488383085e-7</v>
      </c>
      <c r="G2" s="2" t="s">
        <v>73</v>
      </c>
      <c r="H2" s="4"/>
    </row>
    <row r="3" spans="1:8">
      <c r="A3" s="2" t="s">
        <v>19</v>
      </c>
      <c r="B3" s="5">
        <v>0.0296108672258506</v>
      </c>
      <c r="C3" s="5">
        <v>-0.00134477632079788</v>
      </c>
      <c r="D3" s="6">
        <v>0.999900249897407</v>
      </c>
      <c r="E3" s="7">
        <v>2.04282062299676e-7</v>
      </c>
      <c r="F3" s="7">
        <v>4.2598373404075e-7</v>
      </c>
      <c r="G3" s="2" t="s">
        <v>74</v>
      </c>
      <c r="H3" s="4"/>
    </row>
    <row r="4" spans="1:8">
      <c r="A4" s="2" t="s">
        <v>21</v>
      </c>
      <c r="B4" s="5">
        <v>0.100506421924076</v>
      </c>
      <c r="C4" s="5">
        <v>0.000398350002812187</v>
      </c>
      <c r="D4" s="6">
        <v>0.9999988529211</v>
      </c>
      <c r="E4" s="7">
        <v>1.60459986374752e-7</v>
      </c>
      <c r="F4" s="7">
        <v>1.13572247130369e-6</v>
      </c>
      <c r="G4" s="2" t="s">
        <v>75</v>
      </c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1" t="s">
        <v>30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4"/>
    </row>
    <row r="7" spans="1:8">
      <c r="A7" s="8" t="s">
        <v>82</v>
      </c>
      <c r="B7" s="8">
        <v>0</v>
      </c>
      <c r="C7" s="8">
        <v>-0.0068300323615107</v>
      </c>
      <c r="D7" s="8">
        <v>0</v>
      </c>
      <c r="E7" s="8">
        <v>-0.00134477632079788</v>
      </c>
      <c r="F7" s="8">
        <v>0</v>
      </c>
      <c r="G7" s="8">
        <v>0.000398350002812187</v>
      </c>
      <c r="H7" s="4"/>
    </row>
    <row r="8" spans="1:8">
      <c r="A8" s="8" t="s">
        <v>83</v>
      </c>
      <c r="B8" s="8">
        <v>0.46</v>
      </c>
      <c r="C8" s="8">
        <v>0.458278663039404</v>
      </c>
      <c r="D8" s="8">
        <v>0.3</v>
      </c>
      <c r="E8" s="8">
        <v>0.300093852038361</v>
      </c>
      <c r="F8" s="8">
        <v>1.01</v>
      </c>
      <c r="G8" s="8">
        <v>1.00646763346282</v>
      </c>
      <c r="H8" s="4"/>
    </row>
    <row r="9" spans="1:8">
      <c r="A9" s="8" t="s">
        <v>84</v>
      </c>
      <c r="B9" s="8">
        <v>0.92</v>
      </c>
      <c r="C9" s="8">
        <v>0.924778511068637</v>
      </c>
      <c r="D9" s="8">
        <v>0.58</v>
      </c>
      <c r="E9" s="8">
        <v>0.590576459523955</v>
      </c>
      <c r="F9" s="8">
        <v>2.02</v>
      </c>
      <c r="G9" s="8">
        <v>2.0145470453613</v>
      </c>
      <c r="H9" s="4"/>
    </row>
    <row r="10" spans="1:8">
      <c r="A10" s="8" t="s">
        <v>85</v>
      </c>
      <c r="B10" s="8">
        <v>1.38</v>
      </c>
      <c r="C10" s="8">
        <v>1.38385887841351</v>
      </c>
      <c r="D10" s="8">
        <v>0.89</v>
      </c>
      <c r="E10" s="8">
        <v>0.887869566471495</v>
      </c>
      <c r="F10" s="8">
        <v>3.01</v>
      </c>
      <c r="G10" s="8">
        <v>3.01458594350586</v>
      </c>
      <c r="H10" s="4"/>
    </row>
    <row r="11" spans="1:8">
      <c r="A11" s="8" t="s">
        <v>86</v>
      </c>
      <c r="B11" s="8">
        <v>1.85</v>
      </c>
      <c r="C11" s="8">
        <v>1.84711270364333</v>
      </c>
      <c r="D11" s="8">
        <v>1.18</v>
      </c>
      <c r="E11" s="8">
        <v>1.18131326067967</v>
      </c>
      <c r="F11" s="8">
        <v>4.02</v>
      </c>
      <c r="G11" s="8">
        <v>4.02467548384283</v>
      </c>
      <c r="H11" s="4"/>
    </row>
    <row r="12" spans="1:8">
      <c r="A12" s="8" t="s">
        <v>87</v>
      </c>
      <c r="B12" s="8">
        <v>2.28</v>
      </c>
      <c r="C12" s="8">
        <v>2.31593113938643</v>
      </c>
      <c r="D12" s="8">
        <v>1.48</v>
      </c>
      <c r="E12" s="8">
        <v>1.47831025895496</v>
      </c>
      <c r="F12" s="8">
        <v>5.02</v>
      </c>
      <c r="G12" s="8">
        <v>5.02471438198739</v>
      </c>
      <c r="H12" s="4"/>
    </row>
    <row r="13" spans="1:8">
      <c r="A13" s="8" t="s">
        <v>88</v>
      </c>
      <c r="B13" s="8">
        <v>2.76</v>
      </c>
      <c r="C13" s="8">
        <v>2.77640265935962</v>
      </c>
      <c r="D13" s="8">
        <v>1.77</v>
      </c>
      <c r="E13" s="8">
        <v>1.77175395316313</v>
      </c>
      <c r="F13" s="8">
        <v>6.04</v>
      </c>
      <c r="G13" s="8">
        <v>6.03882417920132</v>
      </c>
      <c r="H13" s="4"/>
    </row>
    <row r="14" spans="1:8">
      <c r="A14" s="8" t="s">
        <v>89</v>
      </c>
      <c r="B14" s="8">
        <v>3.32</v>
      </c>
      <c r="C14" s="8">
        <v>3.23965648458944</v>
      </c>
      <c r="D14" s="8">
        <v>2.1</v>
      </c>
      <c r="E14" s="8">
        <v>2.07319258152229</v>
      </c>
      <c r="F14" s="8">
        <v>7.04</v>
      </c>
      <c r="G14" s="8">
        <v>7.0368529489074</v>
      </c>
      <c r="H14" s="4"/>
    </row>
    <row r="15" spans="1:8">
      <c r="A15" s="8" t="s">
        <v>90</v>
      </c>
      <c r="B15" s="8">
        <v>3.69</v>
      </c>
      <c r="C15" s="8">
        <v>3.70291030981927</v>
      </c>
      <c r="D15" s="8">
        <v>2.36</v>
      </c>
      <c r="E15" s="8">
        <v>2.36604405838595</v>
      </c>
      <c r="F15" s="8">
        <v>8.04</v>
      </c>
      <c r="G15" s="8">
        <v>8.04191716814816</v>
      </c>
      <c r="H15" s="4"/>
    </row>
    <row r="16" spans="1:8">
      <c r="A16" s="8" t="s">
        <v>91</v>
      </c>
      <c r="B16" s="8">
        <v>4.16</v>
      </c>
      <c r="C16" s="8">
        <v>4.16616413504909</v>
      </c>
      <c r="D16" s="8">
        <v>2.66</v>
      </c>
      <c r="E16" s="8">
        <v>2.66452160002253</v>
      </c>
      <c r="F16" s="8">
        <v>9.05</v>
      </c>
      <c r="G16" s="8">
        <v>9.04798645160816</v>
      </c>
      <c r="H16" s="4"/>
    </row>
    <row r="17" spans="1:8">
      <c r="A17" s="8" t="s">
        <v>92</v>
      </c>
      <c r="B17" s="8">
        <v>4.62</v>
      </c>
      <c r="C17" s="8">
        <v>4.63173654799278</v>
      </c>
      <c r="D17" s="8">
        <v>2.95</v>
      </c>
      <c r="E17" s="8">
        <v>2.95766918555845</v>
      </c>
      <c r="F17" s="8">
        <v>10.05</v>
      </c>
      <c r="G17" s="8">
        <v>10.049030413972</v>
      </c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9" t="s">
        <v>93</v>
      </c>
      <c r="B20" s="9" t="s">
        <v>94</v>
      </c>
      <c r="C20" s="4"/>
      <c r="D20" s="9" t="s">
        <v>93</v>
      </c>
      <c r="E20" s="9" t="s">
        <v>94</v>
      </c>
      <c r="F20" s="4"/>
      <c r="G20" s="9" t="s">
        <v>93</v>
      </c>
      <c r="H20" s="9" t="s">
        <v>94</v>
      </c>
    </row>
    <row r="21" spans="1:8">
      <c r="A21" s="10" t="s">
        <v>95</v>
      </c>
      <c r="B21" s="10" t="s">
        <v>17</v>
      </c>
      <c r="C21" s="4"/>
      <c r="D21" s="10" t="s">
        <v>95</v>
      </c>
      <c r="E21" s="10" t="s">
        <v>19</v>
      </c>
      <c r="F21" s="4"/>
      <c r="G21" s="10" t="s">
        <v>95</v>
      </c>
      <c r="H21" s="10" t="s">
        <v>21</v>
      </c>
    </row>
    <row r="22" spans="1:8">
      <c r="A22" s="10" t="s">
        <v>96</v>
      </c>
      <c r="B22" s="10" t="s">
        <v>97</v>
      </c>
      <c r="C22" s="4"/>
      <c r="D22" s="10" t="s">
        <v>96</v>
      </c>
      <c r="E22" s="10" t="s">
        <v>97</v>
      </c>
      <c r="F22" s="4"/>
      <c r="G22" s="10" t="s">
        <v>96</v>
      </c>
      <c r="H22" s="10" t="s">
        <v>97</v>
      </c>
    </row>
    <row r="23" spans="1:8">
      <c r="A23" s="10" t="s">
        <v>98</v>
      </c>
      <c r="B23" s="10" t="s">
        <v>99</v>
      </c>
      <c r="C23" s="4"/>
      <c r="D23" s="10" t="s">
        <v>98</v>
      </c>
      <c r="E23" s="10" t="s">
        <v>100</v>
      </c>
      <c r="F23" s="4"/>
      <c r="G23" s="10" t="s">
        <v>98</v>
      </c>
      <c r="H23" s="10" t="s">
        <v>101</v>
      </c>
    </row>
    <row r="24" spans="1:8">
      <c r="A24" s="10" t="s">
        <v>102</v>
      </c>
      <c r="B24" s="10" t="s">
        <v>103</v>
      </c>
      <c r="C24" s="4"/>
      <c r="D24" s="10" t="s">
        <v>102</v>
      </c>
      <c r="E24" s="10" t="s">
        <v>104</v>
      </c>
      <c r="F24" s="4"/>
      <c r="G24" s="10" t="s">
        <v>102</v>
      </c>
      <c r="H24" s="10" t="s">
        <v>105</v>
      </c>
    </row>
    <row r="25" spans="1:8">
      <c r="A25" s="10" t="s">
        <v>106</v>
      </c>
      <c r="B25" s="10" t="s">
        <v>107</v>
      </c>
      <c r="C25" s="4"/>
      <c r="D25" s="10" t="s">
        <v>106</v>
      </c>
      <c r="E25" s="10" t="s">
        <v>108</v>
      </c>
      <c r="F25" s="4"/>
      <c r="G25" s="10" t="s">
        <v>106</v>
      </c>
      <c r="H25" s="10" t="s">
        <v>109</v>
      </c>
    </row>
    <row r="26" spans="1:8">
      <c r="A26" s="10" t="s">
        <v>110</v>
      </c>
      <c r="B26" s="10" t="s">
        <v>111</v>
      </c>
      <c r="C26" s="4"/>
      <c r="D26" s="10" t="s">
        <v>110</v>
      </c>
      <c r="E26" s="10" t="s">
        <v>112</v>
      </c>
      <c r="F26" s="4"/>
      <c r="G26" s="10" t="s">
        <v>110</v>
      </c>
      <c r="H26" s="10" t="s">
        <v>113</v>
      </c>
    </row>
    <row r="27" spans="1:8">
      <c r="A27" s="10" t="s">
        <v>114</v>
      </c>
      <c r="B27" s="10" t="s">
        <v>115</v>
      </c>
      <c r="C27" s="4"/>
      <c r="D27" s="10" t="s">
        <v>114</v>
      </c>
      <c r="E27" s="10" t="s">
        <v>116</v>
      </c>
      <c r="F27" s="4"/>
      <c r="G27" s="10" t="s">
        <v>114</v>
      </c>
      <c r="H27" s="10" t="s">
        <v>113</v>
      </c>
    </row>
    <row r="28" spans="1:8">
      <c r="A28" s="10" t="s">
        <v>117</v>
      </c>
      <c r="B28" s="10" t="s">
        <v>118</v>
      </c>
      <c r="C28" s="4"/>
      <c r="D28" s="10" t="s">
        <v>117</v>
      </c>
      <c r="E28" s="10" t="s">
        <v>119</v>
      </c>
      <c r="F28" s="4"/>
      <c r="G28" s="10" t="s">
        <v>117</v>
      </c>
      <c r="H28" s="10" t="s">
        <v>113</v>
      </c>
    </row>
  </sheetData>
  <pageMargins left="0.75" right="0.75" top="1" bottom="1" header="0.5" footer="0.5"/>
  <pageSetup paperSize="1" fitToHeight="0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 outlineLevelCol="1"/>
  <cols>
    <col min="1" max="1" width="24" customWidth="1"/>
    <col min="2" max="2" width="95" customWidth="1"/>
  </cols>
  <sheetData>
    <row r="1" spans="1:2">
      <c r="A1" s="1" t="s">
        <v>120</v>
      </c>
      <c r="B1" s="1" t="s">
        <v>121</v>
      </c>
    </row>
    <row r="2" ht="28" spans="1:2">
      <c r="A2" s="2" t="s">
        <v>122</v>
      </c>
      <c r="B2" s="3" t="s">
        <v>123</v>
      </c>
    </row>
    <row r="3" ht="28" spans="1:2">
      <c r="A3" s="2" t="s">
        <v>124</v>
      </c>
      <c r="B3" s="3" t="s">
        <v>125</v>
      </c>
    </row>
    <row r="4" ht="28" spans="1:2">
      <c r="A4" s="2" t="s">
        <v>126</v>
      </c>
      <c r="B4" s="3" t="s">
        <v>127</v>
      </c>
    </row>
    <row r="5" ht="28" spans="1:2">
      <c r="A5" s="2" t="s">
        <v>128</v>
      </c>
      <c r="B5" s="3" t="s">
        <v>129</v>
      </c>
    </row>
  </sheetData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结果汇总</vt:lpstr>
      <vt:lpstr>惠斯通电桥</vt:lpstr>
      <vt:lpstr>四端法原始数据</vt:lpstr>
      <vt:lpstr>四端法拟合图</vt:lpstr>
      <vt:lpstr>计算说明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陈卓远</cp:lastModifiedBy>
  <dcterms:created xsi:type="dcterms:W3CDTF">2026-06-03T14:21:00Z</dcterms:created>
  <dcterms:modified xsi:type="dcterms:W3CDTF">2026-06-03T14:47:11Z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7E87EA05FE3348899607B97485CDAA33_12</vt:lpwstr>
  </property>
  <property fmtid="{D5CDD505-2E9C-101B-9397-08002B2CF9AE}" pid="3" name="KSOProductBuildVer">
    <vt:lpwstr>2052-12.1.0.16910</vt:lpwstr>
  </property>
</Properties>
</file>