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  <sheet xmlns:r="http://schemas.openxmlformats.org/officeDocument/2006/relationships" name="惠斯通电桥" sheetId="2" state="visible" r:id="rId2"/>
    <sheet xmlns:r="http://schemas.openxmlformats.org/officeDocument/2006/relationships" name="四端法原始数据" sheetId="3" state="visible" r:id="rId3"/>
    <sheet xmlns:r="http://schemas.openxmlformats.org/officeDocument/2006/relationships" name="四端法拟合图" sheetId="4" state="visible" r:id="rId4"/>
    <sheet xmlns:r="http://schemas.openxmlformats.org/officeDocument/2006/relationships" name="计算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"/>
    <numFmt numFmtId="166" formatCode="0.000000"/>
  </numFmts>
  <fonts count="4">
    <font>
      <name val="Calibri"/>
      <family val="2"/>
      <color theme="1"/>
      <sz val="11"/>
      <scheme val="minor"/>
    </font>
    <font>
      <b val="1"/>
    </font>
    <font>
      <name val="等线"/>
      <b val="1"/>
      <sz val="11"/>
    </font>
    <font>
      <name val="等线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伏安特性曲线求电阻</a:t>
            </a:r>
          </a:p>
        </rich>
      </tx>
    </title>
    <plotArea>
      <lineChart>
        <grouping val="standard"/>
        <ser>
          <idx val="0"/>
          <order val="0"/>
          <tx>
            <v>S-1 实测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solidFill>
                  <a:srgbClr val="4F81BD"/>
                </a:solidFill>
                <a:prstDash val="solid"/>
              </a:ln>
            </spPr>
          </marker>
          <cat>
            <numRef>
              <f>'四端法拟合图'!$A$7:$A$17</f>
            </numRef>
          </cat>
          <val>
            <numRef>
              <f>'四端法拟合图'!$B$7:$B$17</f>
            </numRef>
          </val>
        </ser>
        <ser>
          <idx val="1"/>
          <order val="1"/>
          <tx>
            <v>S-1 拟合</v>
          </tx>
          <spPr>
            <a:ln xmlns:a="http://schemas.openxmlformats.org/drawingml/2006/main" w="22000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'四端法拟合图'!$A$7:$A$17</f>
            </numRef>
          </cat>
          <val>
            <numRef>
              <f>'四端法拟合图'!$C$7:$C$17</f>
            </numRef>
          </val>
        </ser>
        <ser>
          <idx val="2"/>
          <order val="2"/>
          <tx>
            <v>S-2 实测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solidFill>
                  <a:srgbClr val="C0504D"/>
                </a:solidFill>
                <a:prstDash val="solid"/>
              </a:ln>
            </spPr>
          </marker>
          <cat>
            <numRef>
              <f>'四端法拟合图'!$A$7:$A$17</f>
            </numRef>
          </cat>
          <val>
            <numRef>
              <f>'四端法拟合图'!$D$7:$D$17</f>
            </numRef>
          </val>
        </ser>
        <ser>
          <idx val="3"/>
          <order val="3"/>
          <tx>
            <v>S-2 拟合</v>
          </tx>
          <spPr>
            <a:ln xmlns:a="http://schemas.openxmlformats.org/drawingml/2006/main" w="22000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'四端法拟合图'!$A$7:$A$17</f>
            </numRef>
          </cat>
          <val>
            <numRef>
              <f>'四端法拟合图'!$E$7:$E$17</f>
            </numRef>
          </val>
        </ser>
        <ser>
          <idx val="4"/>
          <order val="4"/>
          <tx>
            <v>S-3 实测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solidFill>
                  <a:srgbClr val="9BBB59"/>
                </a:solidFill>
                <a:prstDash val="solid"/>
              </a:ln>
            </spPr>
          </marker>
          <cat>
            <numRef>
              <f>'四端法拟合图'!$A$7:$A$17</f>
            </numRef>
          </cat>
          <val>
            <numRef>
              <f>'四端法拟合图'!$F$7:$F$17</f>
            </numRef>
          </val>
        </ser>
        <ser>
          <idx val="5"/>
          <order val="5"/>
          <tx>
            <v>S-3 拟合</v>
          </tx>
          <spPr>
            <a:ln xmlns:a="http://schemas.openxmlformats.org/drawingml/2006/main" w="22000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'四端法拟合图'!$A$7:$A$17</f>
            </numRef>
          </cat>
          <val>
            <numRef>
              <f>'四端法拟合图'!$G$7:$G$17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电流 I (mA)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电压 U (mV)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82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6" customWidth="1" min="4" max="4"/>
    <col width="16" customWidth="1" min="5" max="5"/>
    <col width="18" customWidth="1" min="6" max="6"/>
    <col width="34" customWidth="1" min="7" max="7"/>
  </cols>
  <sheetData>
    <row r="1">
      <c r="A1" s="1" t="inlineStr">
        <is>
          <t>实验项目</t>
        </is>
      </c>
      <c r="B1" s="1" t="inlineStr">
        <is>
          <t>对象</t>
        </is>
      </c>
      <c r="C1" s="1" t="inlineStr">
        <is>
          <t>最终结果</t>
        </is>
      </c>
      <c r="D1" s="1" t="inlineStr">
        <is>
          <t>相对不确定度</t>
        </is>
      </c>
      <c r="E1" s="1" t="inlineStr">
        <is>
          <t>拟合电阻 R/Ω</t>
        </is>
      </c>
      <c r="F1" s="1" t="inlineStr">
        <is>
          <t>电阻率 ρ/(Ω·m)</t>
        </is>
      </c>
      <c r="G1" s="1" t="inlineStr">
        <is>
          <t>备注</t>
        </is>
      </c>
    </row>
    <row r="2">
      <c r="A2" s="2" t="inlineStr">
        <is>
          <t>惠斯通电桥</t>
        </is>
      </c>
      <c r="B2" s="2" t="inlineStr">
        <is>
          <t>RA</t>
        </is>
      </c>
      <c r="C2" s="2" t="inlineStr">
        <is>
          <t>(110.02 ± 0.16) kΩ</t>
        </is>
      </c>
      <c r="D2" s="3" t="n">
        <v>0.001411522911713851</v>
      </c>
      <c r="E2" s="2" t="n"/>
      <c r="F2" s="2" t="n"/>
      <c r="G2" s="2" t="inlineStr"/>
    </row>
    <row r="3">
      <c r="A3" s="2" t="inlineStr">
        <is>
          <t>惠斯通电桥</t>
        </is>
      </c>
      <c r="B3" s="2" t="inlineStr">
        <is>
          <t>RB（直接+交换）</t>
        </is>
      </c>
      <c r="C3" s="2" t="inlineStr">
        <is>
          <t>(912.0 ± 1.2) Ω</t>
        </is>
      </c>
      <c r="D3" s="3" t="n">
        <v>0.001269361494525697</v>
      </c>
      <c r="E3" s="2" t="n"/>
      <c r="F3" s="2" t="n"/>
      <c r="G3" s="2" t="inlineStr">
        <is>
          <t>RB 使用 6 次 R0；RA/RC 使用 3 次 R0</t>
        </is>
      </c>
    </row>
    <row r="4">
      <c r="A4" s="2" t="inlineStr">
        <is>
          <t>惠斯通电桥</t>
        </is>
      </c>
      <c r="B4" s="2" t="inlineStr">
        <is>
          <t>RC</t>
        </is>
      </c>
      <c r="C4" s="2" t="inlineStr">
        <is>
          <t>(50.93 ± 0.07) Ω</t>
        </is>
      </c>
      <c r="D4" s="3" t="n">
        <v>0.001355058132519113</v>
      </c>
      <c r="E4" s="2" t="n"/>
      <c r="F4" s="2" t="n"/>
      <c r="G4" s="2" t="inlineStr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inlineStr">
        <is>
          <t>四端法</t>
        </is>
      </c>
      <c r="B6" s="2" t="inlineStr">
        <is>
          <t>S-1</t>
        </is>
      </c>
      <c r="C6" s="2" t="n"/>
      <c r="D6" s="2" t="n"/>
      <c r="E6" s="4" t="n">
        <v>0.04637175427725972</v>
      </c>
      <c r="F6" s="5" t="n">
        <v>6.566834883830845e-07</v>
      </c>
      <c r="G6" s="2" t="inlineStr">
        <is>
          <t>d=0.506 mm, L=14.20 mm</t>
        </is>
      </c>
    </row>
    <row r="7">
      <c r="A7" s="2" t="inlineStr">
        <is>
          <t>四端法</t>
        </is>
      </c>
      <c r="B7" s="2" t="inlineStr">
        <is>
          <t>S-2</t>
        </is>
      </c>
      <c r="C7" s="2" t="n"/>
      <c r="D7" s="2" t="n"/>
      <c r="E7" s="4" t="n">
        <v>0.02961086722585056</v>
      </c>
      <c r="F7" s="5" t="n">
        <v>4.2598373404075e-07</v>
      </c>
      <c r="G7" s="2" t="inlineStr">
        <is>
          <t>d=0.510 mm, L=14.20 mm</t>
        </is>
      </c>
    </row>
    <row r="8">
      <c r="A8" s="2" t="inlineStr">
        <is>
          <t>四端法</t>
        </is>
      </c>
      <c r="B8" s="2" t="inlineStr">
        <is>
          <t>S-3</t>
        </is>
      </c>
      <c r="C8" s="2" t="n"/>
      <c r="D8" s="2" t="n"/>
      <c r="E8" s="4" t="n">
        <v>0.1005064219240763</v>
      </c>
      <c r="F8" s="5" t="n">
        <v>1.13572247130369e-06</v>
      </c>
      <c r="G8" s="2" t="inlineStr">
        <is>
          <t>d=0.452 mm, L=14.20 mm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24" customWidth="1" min="19" max="19"/>
  </cols>
  <sheetData>
    <row r="1">
      <c r="A1" s="1" t="inlineStr">
        <is>
          <t>Rx</t>
        </is>
      </c>
      <c r="B1" s="1" t="inlineStr">
        <is>
          <t>万用表粗测</t>
        </is>
      </c>
      <c r="C1" s="1" t="inlineStr">
        <is>
          <t>R1 (Ω)</t>
        </is>
      </c>
      <c r="D1" s="1" t="inlineStr">
        <is>
          <t>R2 (Ω)</t>
        </is>
      </c>
      <c r="E1" s="1" t="inlineStr">
        <is>
          <t>R0-1 (Ω)</t>
        </is>
      </c>
      <c r="F1" s="1" t="inlineStr">
        <is>
          <t>R0-2 (Ω)</t>
        </is>
      </c>
      <c r="G1" s="1" t="inlineStr">
        <is>
          <t>R0-3 (Ω)</t>
        </is>
      </c>
      <c r="H1" s="1" t="inlineStr">
        <is>
          <t>I (mA)</t>
        </is>
      </c>
      <c r="I1" s="1" t="inlineStr">
        <is>
          <t>ΔR0 (Ω)</t>
        </is>
      </c>
      <c r="J1" s="1" t="inlineStr">
        <is>
          <t>ΔU (mV)</t>
        </is>
      </c>
      <c r="K1" s="6" t="n"/>
      <c r="L1" s="6" t="n"/>
      <c r="M1" s="6" t="n"/>
      <c r="N1" s="6" t="n"/>
    </row>
    <row r="2">
      <c r="A2" s="2" t="inlineStr">
        <is>
          <t>RA</t>
        </is>
      </c>
      <c r="B2" s="2" t="inlineStr">
        <is>
          <t>109.9 kΩ</t>
        </is>
      </c>
      <c r="C2" s="7" t="n">
        <v>10000</v>
      </c>
      <c r="D2" s="7" t="n">
        <v>100</v>
      </c>
      <c r="E2" s="7" t="n">
        <v>1100.3</v>
      </c>
      <c r="F2" s="7" t="n">
        <v>1100.4</v>
      </c>
      <c r="G2" s="7" t="n">
        <v>1099.9</v>
      </c>
      <c r="H2" s="7" t="n">
        <v>9.366</v>
      </c>
      <c r="I2" s="7" t="n">
        <v>0.1</v>
      </c>
      <c r="J2" s="7" t="n">
        <v>0.09</v>
      </c>
      <c r="K2" s="6" t="n"/>
      <c r="L2" s="6" t="n"/>
      <c r="M2" s="6" t="n"/>
      <c r="N2" s="6" t="n"/>
    </row>
    <row r="3">
      <c r="A3" s="8" t="inlineStr">
        <is>
          <t>RB-直接法</t>
        </is>
      </c>
      <c r="B3" s="8" t="inlineStr">
        <is>
          <t>912.4 Ω</t>
        </is>
      </c>
      <c r="C3" s="9" t="n">
        <v>1000</v>
      </c>
      <c r="D3" s="9" t="n">
        <v>1000</v>
      </c>
      <c r="E3" s="9" t="n">
        <v>911.9</v>
      </c>
      <c r="F3" s="9" t="n">
        <v>911.9</v>
      </c>
      <c r="G3" s="9" t="n">
        <v>912</v>
      </c>
      <c r="H3" s="9" t="n">
        <v>5.451</v>
      </c>
      <c r="I3" s="9" t="n">
        <v>0.1</v>
      </c>
      <c r="J3" s="9" t="n">
        <v>0.14</v>
      </c>
      <c r="K3" s="6" t="n"/>
      <c r="L3" s="6" t="n"/>
      <c r="M3" s="6" t="n"/>
      <c r="N3" s="6" t="n"/>
    </row>
    <row r="4">
      <c r="A4" s="8" t="inlineStr">
        <is>
          <t>RB-交换法</t>
        </is>
      </c>
      <c r="B4" s="8" t="inlineStr"/>
      <c r="C4" s="9" t="inlineStr"/>
      <c r="D4" s="9" t="inlineStr"/>
      <c r="E4" s="9" t="n">
        <v>912.1</v>
      </c>
      <c r="F4" s="9" t="n">
        <v>912.1</v>
      </c>
      <c r="G4" s="9" t="n">
        <v>912.2</v>
      </c>
      <c r="H4" s="9" t="inlineStr"/>
      <c r="I4" s="9" t="inlineStr"/>
      <c r="J4" s="9" t="inlineStr"/>
      <c r="K4" s="6" t="n"/>
      <c r="L4" s="6" t="n"/>
      <c r="M4" s="6" t="n"/>
      <c r="N4" s="6" t="n"/>
    </row>
    <row r="5">
      <c r="A5" s="2" t="inlineStr">
        <is>
          <t>RC</t>
        </is>
      </c>
      <c r="B5" s="2" t="inlineStr">
        <is>
          <t>51.15 Ω</t>
        </is>
      </c>
      <c r="C5" s="7" t="n">
        <v>100</v>
      </c>
      <c r="D5" s="7" t="n">
        <v>1000</v>
      </c>
      <c r="E5" s="7" t="n">
        <v>509.2</v>
      </c>
      <c r="F5" s="7" t="n">
        <v>509.3</v>
      </c>
      <c r="G5" s="7" t="n">
        <v>509.3</v>
      </c>
      <c r="H5" s="7" t="n">
        <v>17.79</v>
      </c>
      <c r="I5" s="7" t="n">
        <v>0.1</v>
      </c>
      <c r="J5" s="7" t="n">
        <v>0.11</v>
      </c>
      <c r="K5" s="6" t="n"/>
      <c r="L5" s="6" t="n"/>
      <c r="M5" s="6" t="n"/>
      <c r="N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1" t="inlineStr">
        <is>
          <t>Rx</t>
        </is>
      </c>
      <c r="B7" s="1" t="inlineStr">
        <is>
          <t>n</t>
        </is>
      </c>
      <c r="C7" s="1" t="inlineStr">
        <is>
          <t>R0平均 (Ω)</t>
        </is>
      </c>
      <c r="D7" s="1" t="inlineStr">
        <is>
          <t>σ (Ω)</t>
        </is>
      </c>
      <c r="E7" s="1" t="inlineStr">
        <is>
          <t>t0.95/√n</t>
        </is>
      </c>
      <c r="F7" s="1" t="inlineStr">
        <is>
          <t>ΔA (Ω)</t>
        </is>
      </c>
      <c r="G7" s="1" t="inlineStr">
        <is>
          <t>ΔBmax (Ω)</t>
        </is>
      </c>
      <c r="H7" s="1" t="inlineStr">
        <is>
          <t>u_R0 (Ω)</t>
        </is>
      </c>
      <c r="I7" s="1" t="inlineStr">
        <is>
          <t>u_rR0</t>
        </is>
      </c>
      <c r="J7" s="1" t="inlineStr">
        <is>
          <t>R1/R2</t>
        </is>
      </c>
      <c r="K7" s="1" t="inlineStr">
        <is>
          <t>Rx平均 (Ω)</t>
        </is>
      </c>
      <c r="L7" s="1" t="inlineStr">
        <is>
          <t>u_rRx</t>
        </is>
      </c>
      <c r="M7" s="1" t="inlineStr">
        <is>
          <t>u_Rx (Ω)</t>
        </is>
      </c>
      <c r="N7" s="1" t="inlineStr">
        <is>
          <t>最终表示</t>
        </is>
      </c>
    </row>
    <row r="8">
      <c r="A8" s="2" t="inlineStr">
        <is>
          <t>RA</t>
        </is>
      </c>
      <c r="B8" s="2" t="n">
        <v>3</v>
      </c>
      <c r="C8" s="7" t="n">
        <v>1100.2</v>
      </c>
      <c r="D8" s="7" t="n">
        <v>0.2645751311064333</v>
      </c>
      <c r="E8" s="7" t="n">
        <v>2.48</v>
      </c>
      <c r="F8" s="7" t="n">
        <v>0.6561463251439545</v>
      </c>
      <c r="G8" s="7" t="n">
        <v>1.173</v>
      </c>
      <c r="H8" s="7" t="n">
        <v>1.3440450141271</v>
      </c>
      <c r="I8" s="3" t="n">
        <v>0.00122163698793592</v>
      </c>
      <c r="J8" s="7" t="n">
        <v>100</v>
      </c>
      <c r="K8" s="7" t="n">
        <v>110020</v>
      </c>
      <c r="L8" s="3" t="n">
        <v>0.001411522911713851</v>
      </c>
      <c r="M8" s="7" t="n">
        <v>155.2957507467579</v>
      </c>
      <c r="N8" s="2" t="inlineStr">
        <is>
          <t>(110.02 ± 0.16) kΩ</t>
        </is>
      </c>
    </row>
    <row r="9">
      <c r="A9" s="2" t="inlineStr">
        <is>
          <t>RB-直接法</t>
        </is>
      </c>
      <c r="B9" s="2" t="n">
        <v>3</v>
      </c>
      <c r="C9" s="7" t="n">
        <v>911.9333333333334</v>
      </c>
      <c r="D9" s="7" t="n">
        <v>0.0577350269189757</v>
      </c>
      <c r="E9" s="7" t="n">
        <v>2.48</v>
      </c>
      <c r="F9" s="7" t="n">
        <v>0.1431828667590598</v>
      </c>
      <c r="G9" s="7" t="n">
        <v>0.9530000000000001</v>
      </c>
      <c r="H9" s="7" t="n">
        <v>0.9636961831061399</v>
      </c>
      <c r="I9" s="3" t="n">
        <v>0.001056761659959946</v>
      </c>
      <c r="J9" s="7" t="n">
        <v>1</v>
      </c>
      <c r="K9" s="7" t="n">
        <v>911.9333333333334</v>
      </c>
      <c r="L9" s="3" t="n">
        <v>0.001271512959415397</v>
      </c>
      <c r="M9" s="7" t="n">
        <v>1.159535051456214</v>
      </c>
      <c r="N9" s="2" t="inlineStr">
        <is>
          <t>(911.9 ± 1.2) Ω</t>
        </is>
      </c>
    </row>
    <row r="10">
      <c r="A10" s="2" t="inlineStr">
        <is>
          <t>RB-交换法</t>
        </is>
      </c>
      <c r="B10" s="2" t="n">
        <v>3</v>
      </c>
      <c r="C10" s="7" t="n">
        <v>912.1333333333333</v>
      </c>
      <c r="D10" s="7" t="n">
        <v>0.0577350269189757</v>
      </c>
      <c r="E10" s="7" t="n">
        <v>2.48</v>
      </c>
      <c r="F10" s="7" t="n">
        <v>0.1431828667590598</v>
      </c>
      <c r="G10" s="7" t="n">
        <v>0.9440000000000001</v>
      </c>
      <c r="H10" s="7" t="n">
        <v>0.9547970115858883</v>
      </c>
      <c r="I10" s="3" t="n">
        <v>0.001046773510728572</v>
      </c>
      <c r="J10" s="7" t="n">
        <v>1</v>
      </c>
      <c r="K10" s="7" t="n">
        <v>912.1333333333333</v>
      </c>
      <c r="L10" s="3" t="n">
        <v>0.001263223963817588</v>
      </c>
      <c r="M10" s="7" t="n">
        <v>1.152228684863483</v>
      </c>
      <c r="N10" s="2" t="inlineStr">
        <is>
          <t>(912.1 ± 1.2) Ω</t>
        </is>
      </c>
    </row>
    <row r="11">
      <c r="A11" s="2" t="inlineStr">
        <is>
          <t>RB-综合</t>
        </is>
      </c>
      <c r="B11" s="2" t="n">
        <v>6</v>
      </c>
      <c r="C11" s="7" t="n">
        <v>912.0333333333333</v>
      </c>
      <c r="D11" s="7" t="n">
        <v>0.1211060141639272</v>
      </c>
      <c r="E11" s="7" t="n">
        <v>1.049606354782592</v>
      </c>
      <c r="F11" s="7" t="n">
        <v>0.1271136420688486</v>
      </c>
      <c r="G11" s="7" t="n">
        <v>0.9530000000000001</v>
      </c>
      <c r="H11" s="7" t="n">
        <v>0.9614400022882382</v>
      </c>
      <c r="I11" s="3" t="n">
        <v>0.001054171999146491</v>
      </c>
      <c r="J11" s="7" t="n">
        <v>1</v>
      </c>
      <c r="K11" s="7" t="n">
        <v>912.0333333333333</v>
      </c>
      <c r="L11" s="3" t="n">
        <v>0.001269361494525697</v>
      </c>
      <c r="M11" s="7" t="n">
        <v>1.157699995057253</v>
      </c>
      <c r="N11" s="2" t="inlineStr">
        <is>
          <t>(912.0 ± 1.2) Ω</t>
        </is>
      </c>
    </row>
    <row r="12">
      <c r="A12" s="2" t="inlineStr">
        <is>
          <t>RC</t>
        </is>
      </c>
      <c r="B12" s="2" t="n">
        <v>3</v>
      </c>
      <c r="C12" s="7" t="n">
        <v>509.2666666666667</v>
      </c>
      <c r="D12" s="7" t="n">
        <v>0.0577350269189757</v>
      </c>
      <c r="E12" s="7" t="n">
        <v>2.48</v>
      </c>
      <c r="F12" s="7" t="n">
        <v>0.1431828667590598</v>
      </c>
      <c r="G12" s="7" t="n">
        <v>0.5710000000000001</v>
      </c>
      <c r="H12" s="7" t="n">
        <v>0.588678463452964</v>
      </c>
      <c r="I12" s="3" t="n">
        <v>0.001155933623745839</v>
      </c>
      <c r="J12" s="7" t="n">
        <v>0.1</v>
      </c>
      <c r="K12" s="7" t="n">
        <v>50.92666666666667</v>
      </c>
      <c r="L12" s="3" t="n">
        <v>0.001355058132519113</v>
      </c>
      <c r="M12" s="7" t="n">
        <v>0.0690085938287567</v>
      </c>
      <c r="N12" s="2" t="inlineStr">
        <is>
          <t>(50.93 ± 0.07) Ω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1" t="inlineStr">
        <is>
          <t>灵敏度</t>
        </is>
      </c>
      <c r="B14" s="1" t="inlineStr">
        <is>
          <t>ΔU/(ΔR0/R0)</t>
        </is>
      </c>
      <c r="C14" s="1" t="inlineStr">
        <is>
          <t>ΔU (mV)</t>
        </is>
      </c>
      <c r="D14" s="1" t="inlineStr">
        <is>
          <t>ΔR0/R0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2" t="inlineStr">
        <is>
          <t>RA</t>
        </is>
      </c>
      <c r="B15" s="7" t="n">
        <v>990.1799999999998</v>
      </c>
      <c r="C15" s="7" t="n">
        <v>0.09</v>
      </c>
      <c r="D15" s="10" t="n">
        <v>9.089256498818397e-05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2" t="inlineStr">
        <is>
          <t>RB</t>
        </is>
      </c>
      <c r="B16" s="7" t="n">
        <v>1276.846666666667</v>
      </c>
      <c r="C16" s="7" t="n">
        <v>0.14</v>
      </c>
      <c r="D16" s="10" t="n">
        <v>0.000109645115310113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2" t="inlineStr">
        <is>
          <t>RC</t>
        </is>
      </c>
      <c r="B17" s="7" t="n">
        <v>560.1933333333333</v>
      </c>
      <c r="C17" s="7" t="n">
        <v>0.11</v>
      </c>
      <c r="D17" s="10" t="n">
        <v>0.0001963607802068334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样品</t>
        </is>
      </c>
      <c r="B1" s="1" t="inlineStr">
        <is>
          <t>点号</t>
        </is>
      </c>
      <c r="C1" s="1" t="inlineStr">
        <is>
          <t>I (mA)</t>
        </is>
      </c>
      <c r="D1" s="1" t="inlineStr">
        <is>
          <t>U (mV)</t>
        </is>
      </c>
      <c r="E1" s="1" t="inlineStr">
        <is>
          <t>直径 d (mm)</t>
        </is>
      </c>
      <c r="F1" s="1" t="inlineStr">
        <is>
          <t>长度 L (mm)</t>
        </is>
      </c>
    </row>
    <row r="2">
      <c r="A2" s="2" t="inlineStr">
        <is>
          <t>S-1</t>
        </is>
      </c>
      <c r="B2" s="2" t="n">
        <v>0</v>
      </c>
      <c r="C2" s="11" t="n">
        <v>0</v>
      </c>
      <c r="D2" s="11" t="n">
        <v>0</v>
      </c>
      <c r="E2" s="7" t="n">
        <v>0.506</v>
      </c>
      <c r="F2" s="11" t="n">
        <v>14.2</v>
      </c>
    </row>
    <row r="3">
      <c r="A3" s="2" t="inlineStr">
        <is>
          <t>S-1</t>
        </is>
      </c>
      <c r="B3" s="2" t="n">
        <v>1</v>
      </c>
      <c r="C3" s="11" t="n">
        <v>10.03</v>
      </c>
      <c r="D3" s="11" t="n">
        <v>0.46</v>
      </c>
      <c r="E3" s="7" t="n">
        <v>0.506</v>
      </c>
      <c r="F3" s="11" t="n">
        <v>14.2</v>
      </c>
    </row>
    <row r="4">
      <c r="A4" s="2" t="inlineStr">
        <is>
          <t>S-1</t>
        </is>
      </c>
      <c r="B4" s="2" t="n">
        <v>2</v>
      </c>
      <c r="C4" s="11" t="n">
        <v>20.09</v>
      </c>
      <c r="D4" s="11" t="n">
        <v>0.92</v>
      </c>
      <c r="E4" s="7" t="n">
        <v>0.506</v>
      </c>
      <c r="F4" s="11" t="n">
        <v>14.2</v>
      </c>
    </row>
    <row r="5">
      <c r="A5" s="2" t="inlineStr">
        <is>
          <t>S-1</t>
        </is>
      </c>
      <c r="B5" s="2" t="n">
        <v>3</v>
      </c>
      <c r="C5" s="11" t="n">
        <v>29.99</v>
      </c>
      <c r="D5" s="11" t="n">
        <v>1.38</v>
      </c>
      <c r="E5" s="7" t="n">
        <v>0.506</v>
      </c>
      <c r="F5" s="11" t="n">
        <v>14.2</v>
      </c>
    </row>
    <row r="6">
      <c r="A6" s="2" t="inlineStr">
        <is>
          <t>S-1</t>
        </is>
      </c>
      <c r="B6" s="2" t="n">
        <v>4</v>
      </c>
      <c r="C6" s="11" t="n">
        <v>39.98</v>
      </c>
      <c r="D6" s="11" t="n">
        <v>1.85</v>
      </c>
      <c r="E6" s="7" t="n">
        <v>0.506</v>
      </c>
      <c r="F6" s="11" t="n">
        <v>14.2</v>
      </c>
    </row>
    <row r="7">
      <c r="A7" s="2" t="inlineStr">
        <is>
          <t>S-1</t>
        </is>
      </c>
      <c r="B7" s="2" t="n">
        <v>5</v>
      </c>
      <c r="C7" s="11" t="n">
        <v>50.09</v>
      </c>
      <c r="D7" s="11" t="n">
        <v>2.28</v>
      </c>
      <c r="E7" s="7" t="n">
        <v>0.506</v>
      </c>
      <c r="F7" s="11" t="n">
        <v>14.2</v>
      </c>
    </row>
    <row r="8">
      <c r="A8" s="2" t="inlineStr">
        <is>
          <t>S-1</t>
        </is>
      </c>
      <c r="B8" s="2" t="n">
        <v>6</v>
      </c>
      <c r="C8" s="11" t="n">
        <v>60.02</v>
      </c>
      <c r="D8" s="11" t="n">
        <v>2.76</v>
      </c>
      <c r="E8" s="7" t="n">
        <v>0.506</v>
      </c>
      <c r="F8" s="11" t="n">
        <v>14.2</v>
      </c>
    </row>
    <row r="9">
      <c r="A9" s="2" t="inlineStr">
        <is>
          <t>S-1</t>
        </is>
      </c>
      <c r="B9" s="2" t="n">
        <v>7</v>
      </c>
      <c r="C9" s="11" t="n">
        <v>70.01000000000001</v>
      </c>
      <c r="D9" s="11" t="n">
        <v>3.32</v>
      </c>
      <c r="E9" s="7" t="n">
        <v>0.506</v>
      </c>
      <c r="F9" s="11" t="n">
        <v>14.2</v>
      </c>
    </row>
    <row r="10">
      <c r="A10" s="2" t="inlineStr">
        <is>
          <t>S-1</t>
        </is>
      </c>
      <c r="B10" s="2" t="n">
        <v>8</v>
      </c>
      <c r="C10" s="11" t="n">
        <v>80</v>
      </c>
      <c r="D10" s="11" t="n">
        <v>3.69</v>
      </c>
      <c r="E10" s="7" t="n">
        <v>0.506</v>
      </c>
      <c r="F10" s="11" t="n">
        <v>14.2</v>
      </c>
    </row>
    <row r="11">
      <c r="A11" s="2" t="inlineStr">
        <is>
          <t>S-1</t>
        </is>
      </c>
      <c r="B11" s="2" t="n">
        <v>9</v>
      </c>
      <c r="C11" s="11" t="n">
        <v>89.98999999999999</v>
      </c>
      <c r="D11" s="11" t="n">
        <v>4.16</v>
      </c>
      <c r="E11" s="7" t="n">
        <v>0.506</v>
      </c>
      <c r="F11" s="11" t="n">
        <v>14.2</v>
      </c>
    </row>
    <row r="12">
      <c r="A12" s="2" t="inlineStr">
        <is>
          <t>S-1</t>
        </is>
      </c>
      <c r="B12" s="2" t="n">
        <v>10</v>
      </c>
      <c r="C12" s="11" t="n">
        <v>100.03</v>
      </c>
      <c r="D12" s="11" t="n">
        <v>4.62</v>
      </c>
      <c r="E12" s="7" t="n">
        <v>0.506</v>
      </c>
      <c r="F12" s="11" t="n">
        <v>14.2</v>
      </c>
    </row>
    <row r="13">
      <c r="A13" s="2" t="inlineStr">
        <is>
          <t>S-2</t>
        </is>
      </c>
      <c r="B13" s="2" t="n">
        <v>0</v>
      </c>
      <c r="C13" s="11" t="n">
        <v>0</v>
      </c>
      <c r="D13" s="11" t="n">
        <v>0</v>
      </c>
      <c r="E13" s="7" t="n">
        <v>0.51</v>
      </c>
      <c r="F13" s="11" t="n">
        <v>14.2</v>
      </c>
    </row>
    <row r="14">
      <c r="A14" s="2" t="inlineStr">
        <is>
          <t>S-2</t>
        </is>
      </c>
      <c r="B14" s="2" t="n">
        <v>1</v>
      </c>
      <c r="C14" s="11" t="n">
        <v>10.18</v>
      </c>
      <c r="D14" s="11" t="n">
        <v>0.3</v>
      </c>
      <c r="E14" s="7" t="n">
        <v>0.51</v>
      </c>
      <c r="F14" s="11" t="n">
        <v>14.2</v>
      </c>
    </row>
    <row r="15">
      <c r="A15" s="2" t="inlineStr">
        <is>
          <t>S-2</t>
        </is>
      </c>
      <c r="B15" s="2" t="n">
        <v>2</v>
      </c>
      <c r="C15" s="11" t="n">
        <v>19.99</v>
      </c>
      <c r="D15" s="11" t="n">
        <v>0.58</v>
      </c>
      <c r="E15" s="7" t="n">
        <v>0.51</v>
      </c>
      <c r="F15" s="11" t="n">
        <v>14.2</v>
      </c>
    </row>
    <row r="16">
      <c r="A16" s="2" t="inlineStr">
        <is>
          <t>S-2</t>
        </is>
      </c>
      <c r="B16" s="2" t="n">
        <v>3</v>
      </c>
      <c r="C16" s="11" t="n">
        <v>30.03</v>
      </c>
      <c r="D16" s="11" t="n">
        <v>0.89</v>
      </c>
      <c r="E16" s="7" t="n">
        <v>0.51</v>
      </c>
      <c r="F16" s="11" t="n">
        <v>14.2</v>
      </c>
    </row>
    <row r="17">
      <c r="A17" s="2" t="inlineStr">
        <is>
          <t>S-2</t>
        </is>
      </c>
      <c r="B17" s="2" t="n">
        <v>4</v>
      </c>
      <c r="C17" s="11" t="n">
        <v>39.94</v>
      </c>
      <c r="D17" s="11" t="n">
        <v>1.18</v>
      </c>
      <c r="E17" s="7" t="n">
        <v>0.51</v>
      </c>
      <c r="F17" s="11" t="n">
        <v>14.2</v>
      </c>
    </row>
    <row r="18">
      <c r="A18" s="2" t="inlineStr">
        <is>
          <t>S-2</t>
        </is>
      </c>
      <c r="B18" s="2" t="n">
        <v>5</v>
      </c>
      <c r="C18" s="11" t="n">
        <v>49.97</v>
      </c>
      <c r="D18" s="11" t="n">
        <v>1.48</v>
      </c>
      <c r="E18" s="7" t="n">
        <v>0.51</v>
      </c>
      <c r="F18" s="11" t="n">
        <v>14.2</v>
      </c>
    </row>
    <row r="19">
      <c r="A19" s="2" t="inlineStr">
        <is>
          <t>S-2</t>
        </is>
      </c>
      <c r="B19" s="2" t="n">
        <v>6</v>
      </c>
      <c r="C19" s="12" t="n">
        <v>59.88</v>
      </c>
      <c r="D19" s="11" t="n">
        <v>1.77</v>
      </c>
      <c r="E19" s="7" t="n">
        <v>0.51</v>
      </c>
      <c r="F19" s="11" t="n">
        <v>14.2</v>
      </c>
    </row>
    <row r="20">
      <c r="A20" s="2" t="inlineStr">
        <is>
          <t>S-2</t>
        </is>
      </c>
      <c r="B20" s="2" t="n">
        <v>7</v>
      </c>
      <c r="C20" s="12" t="n">
        <v>70.06</v>
      </c>
      <c r="D20" s="11" t="n">
        <v>2.1</v>
      </c>
      <c r="E20" s="7" t="n">
        <v>0.51</v>
      </c>
      <c r="F20" s="11" t="n">
        <v>14.2</v>
      </c>
    </row>
    <row r="21">
      <c r="A21" s="2" t="inlineStr">
        <is>
          <t>S-2</t>
        </is>
      </c>
      <c r="B21" s="2" t="n">
        <v>8</v>
      </c>
      <c r="C21" s="11" t="n">
        <v>79.95</v>
      </c>
      <c r="D21" s="11" t="n">
        <v>2.36</v>
      </c>
      <c r="E21" s="7" t="n">
        <v>0.51</v>
      </c>
      <c r="F21" s="11" t="n">
        <v>14.2</v>
      </c>
    </row>
    <row r="22">
      <c r="A22" s="2" t="inlineStr">
        <is>
          <t>S-2</t>
        </is>
      </c>
      <c r="B22" s="2" t="n">
        <v>9</v>
      </c>
      <c r="C22" s="11" t="n">
        <v>90.03</v>
      </c>
      <c r="D22" s="11" t="n">
        <v>2.66</v>
      </c>
      <c r="E22" s="7" t="n">
        <v>0.51</v>
      </c>
      <c r="F22" s="11" t="n">
        <v>14.2</v>
      </c>
    </row>
    <row r="23">
      <c r="A23" s="2" t="inlineStr">
        <is>
          <t>S-2</t>
        </is>
      </c>
      <c r="B23" s="2" t="n">
        <v>10</v>
      </c>
      <c r="C23" s="11" t="n">
        <v>99.93000000000001</v>
      </c>
      <c r="D23" s="11" t="n">
        <v>2.95</v>
      </c>
      <c r="E23" s="7" t="n">
        <v>0.51</v>
      </c>
      <c r="F23" s="11" t="n">
        <v>14.2</v>
      </c>
    </row>
    <row r="24">
      <c r="A24" s="2" t="inlineStr">
        <is>
          <t>S-3</t>
        </is>
      </c>
      <c r="B24" s="2" t="n">
        <v>0</v>
      </c>
      <c r="C24" s="11" t="n">
        <v>0</v>
      </c>
      <c r="D24" s="11" t="n">
        <v>0</v>
      </c>
      <c r="E24" s="7" t="n">
        <v>0.452</v>
      </c>
      <c r="F24" s="11" t="n">
        <v>14.2</v>
      </c>
    </row>
    <row r="25">
      <c r="A25" s="2" t="inlineStr">
        <is>
          <t>S-3</t>
        </is>
      </c>
      <c r="B25" s="2" t="n">
        <v>1</v>
      </c>
      <c r="C25" s="11" t="n">
        <v>10.01</v>
      </c>
      <c r="D25" s="11" t="n">
        <v>1.01</v>
      </c>
      <c r="E25" s="7" t="n">
        <v>0.452</v>
      </c>
      <c r="F25" s="11" t="n">
        <v>14.2</v>
      </c>
    </row>
    <row r="26">
      <c r="A26" s="2" t="inlineStr">
        <is>
          <t>S-3</t>
        </is>
      </c>
      <c r="B26" s="2" t="n">
        <v>2</v>
      </c>
      <c r="C26" s="11" t="n">
        <v>20.04</v>
      </c>
      <c r="D26" s="11" t="n">
        <v>2.02</v>
      </c>
      <c r="E26" s="7" t="n">
        <v>0.452</v>
      </c>
      <c r="F26" s="11" t="n">
        <v>14.2</v>
      </c>
    </row>
    <row r="27">
      <c r="A27" s="2" t="inlineStr">
        <is>
          <t>S-3</t>
        </is>
      </c>
      <c r="B27" s="2" t="n">
        <v>3</v>
      </c>
      <c r="C27" s="11" t="n">
        <v>29.99</v>
      </c>
      <c r="D27" s="11" t="n">
        <v>3.01</v>
      </c>
      <c r="E27" s="7" t="n">
        <v>0.452</v>
      </c>
      <c r="F27" s="11" t="n">
        <v>14.2</v>
      </c>
    </row>
    <row r="28">
      <c r="A28" s="2" t="inlineStr">
        <is>
          <t>S-3</t>
        </is>
      </c>
      <c r="B28" s="2" t="n">
        <v>4</v>
      </c>
      <c r="C28" s="11" t="n">
        <v>40.04</v>
      </c>
      <c r="D28" s="11" t="n">
        <v>4.02</v>
      </c>
      <c r="E28" s="7" t="n">
        <v>0.452</v>
      </c>
      <c r="F28" s="11" t="n">
        <v>14.2</v>
      </c>
    </row>
    <row r="29">
      <c r="A29" s="2" t="inlineStr">
        <is>
          <t>S-3</t>
        </is>
      </c>
      <c r="B29" s="2" t="n">
        <v>5</v>
      </c>
      <c r="C29" s="11" t="n">
        <v>49.99</v>
      </c>
      <c r="D29" s="11" t="n">
        <v>5.02</v>
      </c>
      <c r="E29" s="7" t="n">
        <v>0.452</v>
      </c>
      <c r="F29" s="11" t="n">
        <v>14.2</v>
      </c>
    </row>
    <row r="30">
      <c r="A30" s="2" t="inlineStr">
        <is>
          <t>S-3</t>
        </is>
      </c>
      <c r="B30" s="2" t="n">
        <v>6</v>
      </c>
      <c r="C30" s="12" t="n">
        <v>60.08</v>
      </c>
      <c r="D30" s="11" t="n">
        <v>6.04</v>
      </c>
      <c r="E30" s="7" t="n">
        <v>0.452</v>
      </c>
      <c r="F30" s="11" t="n">
        <v>14.2</v>
      </c>
    </row>
    <row r="31">
      <c r="A31" s="2" t="inlineStr">
        <is>
          <t>S-3</t>
        </is>
      </c>
      <c r="B31" s="2" t="n">
        <v>7</v>
      </c>
      <c r="C31" s="11" t="n">
        <v>70.01000000000001</v>
      </c>
      <c r="D31" s="11" t="n">
        <v>7.04</v>
      </c>
      <c r="E31" s="7" t="n">
        <v>0.452</v>
      </c>
      <c r="F31" s="11" t="n">
        <v>14.2</v>
      </c>
    </row>
    <row r="32">
      <c r="A32" s="2" t="inlineStr">
        <is>
          <t>S-3</t>
        </is>
      </c>
      <c r="B32" s="2" t="n">
        <v>8</v>
      </c>
      <c r="C32" s="11" t="n">
        <v>80.01000000000001</v>
      </c>
      <c r="D32" s="11" t="n">
        <v>8.039999999999999</v>
      </c>
      <c r="E32" s="7" t="n">
        <v>0.452</v>
      </c>
      <c r="F32" s="11" t="n">
        <v>14.2</v>
      </c>
    </row>
    <row r="33">
      <c r="A33" s="2" t="inlineStr">
        <is>
          <t>S-3</t>
        </is>
      </c>
      <c r="B33" s="2" t="n">
        <v>9</v>
      </c>
      <c r="C33" s="11" t="n">
        <v>90.02</v>
      </c>
      <c r="D33" s="11" t="n">
        <v>9.050000000000001</v>
      </c>
      <c r="E33" s="7" t="n">
        <v>0.452</v>
      </c>
      <c r="F33" s="11" t="n">
        <v>14.2</v>
      </c>
    </row>
    <row r="34">
      <c r="A34" s="2" t="inlineStr">
        <is>
          <t>S-3</t>
        </is>
      </c>
      <c r="B34" s="2" t="n">
        <v>10</v>
      </c>
      <c r="C34" s="11" t="n">
        <v>99.98</v>
      </c>
      <c r="D34" s="11" t="n">
        <v>10.05</v>
      </c>
      <c r="E34" s="7" t="n">
        <v>0.452</v>
      </c>
      <c r="F34" s="11" t="n">
        <v>14.2</v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22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样品</t>
        </is>
      </c>
      <c r="B1" s="1" t="inlineStr">
        <is>
          <t>拟合电阻 R/Ω</t>
        </is>
      </c>
      <c r="C1" s="1" t="inlineStr">
        <is>
          <t>截距 b/mV</t>
        </is>
      </c>
      <c r="D1" s="1" t="inlineStr">
        <is>
          <t>R²</t>
        </is>
      </c>
      <c r="E1" s="1" t="inlineStr">
        <is>
          <t>横截面积 S/m²</t>
        </is>
      </c>
      <c r="F1" s="1" t="inlineStr">
        <is>
          <t>电阻率 ρ/(Ω·m)</t>
        </is>
      </c>
      <c r="G1" s="1" t="inlineStr">
        <is>
          <t>拟合方程</t>
        </is>
      </c>
    </row>
    <row r="2">
      <c r="A2" s="2" t="inlineStr">
        <is>
          <t>S-1</t>
        </is>
      </c>
      <c r="B2" s="4" t="n">
        <v>0.04637175427725972</v>
      </c>
      <c r="C2" s="4" t="n">
        <v>-0.006830032361510696</v>
      </c>
      <c r="D2" s="10" t="n">
        <v>0.9996426226394445</v>
      </c>
      <c r="E2" s="5" t="n">
        <v>2.010902041636291e-07</v>
      </c>
      <c r="F2" s="5" t="n">
        <v>6.566834883830845e-07</v>
      </c>
      <c r="G2" s="2" t="inlineStr">
        <is>
          <t>U = 0.04637 I - 0.00683</t>
        </is>
      </c>
    </row>
    <row r="3">
      <c r="A3" s="2" t="inlineStr">
        <is>
          <t>S-2</t>
        </is>
      </c>
      <c r="B3" s="4" t="n">
        <v>0.02961086722585056</v>
      </c>
      <c r="C3" s="4" t="n">
        <v>-0.00134477632079788</v>
      </c>
      <c r="D3" s="10" t="n">
        <v>0.9999002498974069</v>
      </c>
      <c r="E3" s="5" t="n">
        <v>2.042820622996764e-07</v>
      </c>
      <c r="F3" s="5" t="n">
        <v>4.2598373404075e-07</v>
      </c>
      <c r="G3" s="2" t="inlineStr">
        <is>
          <t>U = 0.02961 I - 0.00134</t>
        </is>
      </c>
    </row>
    <row r="4">
      <c r="A4" s="2" t="inlineStr">
        <is>
          <t>S-3</t>
        </is>
      </c>
      <c r="B4" s="4" t="n">
        <v>0.1005064219240763</v>
      </c>
      <c r="C4" s="4" t="n">
        <v>0.0003983500028121867</v>
      </c>
      <c r="D4" s="10" t="n">
        <v>0.9999988529210996</v>
      </c>
      <c r="E4" s="5" t="n">
        <v>1.604599863747523e-07</v>
      </c>
      <c r="F4" s="5" t="n">
        <v>1.13572247130369e-06</v>
      </c>
      <c r="G4" s="2" t="inlineStr">
        <is>
          <t>U = 0.10051 I + 0.00040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1" t="inlineStr">
        <is>
          <t>I (mA)</t>
        </is>
      </c>
      <c r="B6" s="1" t="inlineStr">
        <is>
          <t>S-1 实测</t>
        </is>
      </c>
      <c r="C6" s="1" t="inlineStr">
        <is>
          <t>S-1 拟合</t>
        </is>
      </c>
      <c r="D6" s="1" t="inlineStr">
        <is>
          <t>S-2 实测</t>
        </is>
      </c>
      <c r="E6" s="1" t="inlineStr">
        <is>
          <t>S-2 拟合</t>
        </is>
      </c>
      <c r="F6" s="1" t="inlineStr">
        <is>
          <t>S-3 实测</t>
        </is>
      </c>
      <c r="G6" s="1" t="inlineStr">
        <is>
          <t>S-3 拟合</t>
        </is>
      </c>
    </row>
    <row r="7">
      <c r="A7" s="11" t="inlineStr">
        <is>
          <t>0.00</t>
        </is>
      </c>
      <c r="B7" s="11" t="n">
        <v>0</v>
      </c>
      <c r="C7" s="11" t="n">
        <v>-0.006830032361510696</v>
      </c>
      <c r="D7" s="11" t="n">
        <v>0</v>
      </c>
      <c r="E7" s="11" t="n">
        <v>-0.00134477632079788</v>
      </c>
      <c r="F7" s="11" t="n">
        <v>0</v>
      </c>
      <c r="G7" s="11" t="n">
        <v>0.0003983500028121867</v>
      </c>
    </row>
    <row r="8">
      <c r="A8" s="11" t="inlineStr">
        <is>
          <t>10.03</t>
        </is>
      </c>
      <c r="B8" s="11" t="n">
        <v>0.46</v>
      </c>
      <c r="C8" s="11" t="n">
        <v>0.4582786630394043</v>
      </c>
      <c r="D8" s="11" t="n">
        <v>0.3</v>
      </c>
      <c r="E8" s="11" t="n">
        <v>0.3000938520383608</v>
      </c>
      <c r="F8" s="11" t="n">
        <v>1.01</v>
      </c>
      <c r="G8" s="11" t="n">
        <v>1.006467633462816</v>
      </c>
    </row>
    <row r="9">
      <c r="A9" s="11" t="inlineStr">
        <is>
          <t>20.09</t>
        </is>
      </c>
      <c r="B9" s="11" t="n">
        <v>0.92</v>
      </c>
      <c r="C9" s="11" t="n">
        <v>0.9247785110686372</v>
      </c>
      <c r="D9" s="11" t="n">
        <v>0.58</v>
      </c>
      <c r="E9" s="11" t="n">
        <v>0.5905764595239548</v>
      </c>
      <c r="F9" s="11" t="n">
        <v>2.02</v>
      </c>
      <c r="G9" s="11" t="n">
        <v>2.014547045361302</v>
      </c>
    </row>
    <row r="10">
      <c r="A10" s="11" t="inlineStr">
        <is>
          <t>29.99</t>
        </is>
      </c>
      <c r="B10" s="11" t="n">
        <v>1.38</v>
      </c>
      <c r="C10" s="11" t="n">
        <v>1.383858878413508</v>
      </c>
      <c r="D10" s="11" t="n">
        <v>0.89</v>
      </c>
      <c r="E10" s="11" t="n">
        <v>0.8878695664714945</v>
      </c>
      <c r="F10" s="11" t="n">
        <v>3.01</v>
      </c>
      <c r="G10" s="11" t="n">
        <v>3.014585943505861</v>
      </c>
    </row>
    <row r="11">
      <c r="A11" s="11" t="inlineStr">
        <is>
          <t>39.98</t>
        </is>
      </c>
      <c r="B11" s="11" t="n">
        <v>1.85</v>
      </c>
      <c r="C11" s="11" t="n">
        <v>1.847112703643333</v>
      </c>
      <c r="D11" s="11" t="n">
        <v>1.18</v>
      </c>
      <c r="E11" s="11" t="n">
        <v>1.181313260679673</v>
      </c>
      <c r="F11" s="11" t="n">
        <v>4.02</v>
      </c>
      <c r="G11" s="11" t="n">
        <v>4.024675483842828</v>
      </c>
    </row>
    <row r="12">
      <c r="A12" s="11" t="inlineStr">
        <is>
          <t>50.09</t>
        </is>
      </c>
      <c r="B12" s="11" t="n">
        <v>2.28</v>
      </c>
      <c r="C12" s="11" t="n">
        <v>2.315931139386429</v>
      </c>
      <c r="D12" s="11" t="n">
        <v>1.48</v>
      </c>
      <c r="E12" s="11" t="n">
        <v>1.478310258954955</v>
      </c>
      <c r="F12" s="11" t="n">
        <v>5.02</v>
      </c>
      <c r="G12" s="11" t="n">
        <v>5.024714381987388</v>
      </c>
    </row>
    <row r="13">
      <c r="A13" s="11" t="inlineStr">
        <is>
          <t>60.02</t>
        </is>
      </c>
      <c r="B13" s="11" t="n">
        <v>2.76</v>
      </c>
      <c r="C13" s="11" t="n">
        <v>2.776402659359618</v>
      </c>
      <c r="D13" s="11" t="n">
        <v>1.77</v>
      </c>
      <c r="E13" s="11" t="n">
        <v>1.771753953163134</v>
      </c>
      <c r="F13" s="11" t="n">
        <v>6.04</v>
      </c>
      <c r="G13" s="11" t="n">
        <v>6.038824179201318</v>
      </c>
    </row>
    <row r="14">
      <c r="A14" s="11" t="inlineStr">
        <is>
          <t>70.01</t>
        </is>
      </c>
      <c r="B14" s="11" t="n">
        <v>3.32</v>
      </c>
      <c r="C14" s="11" t="n">
        <v>3.239656484589443</v>
      </c>
      <c r="D14" s="11" t="n">
        <v>2.1</v>
      </c>
      <c r="E14" s="11" t="n">
        <v>2.073192581522292</v>
      </c>
      <c r="F14" s="11" t="n">
        <v>7.04</v>
      </c>
      <c r="G14" s="11" t="n">
        <v>7.036852948907397</v>
      </c>
    </row>
    <row r="15">
      <c r="A15" s="11" t="inlineStr">
        <is>
          <t>80.00</t>
        </is>
      </c>
      <c r="B15" s="11" t="n">
        <v>3.69</v>
      </c>
      <c r="C15" s="11" t="n">
        <v>3.702910309819267</v>
      </c>
      <c r="D15" s="11" t="n">
        <v>2.36</v>
      </c>
      <c r="E15" s="11" t="n">
        <v>2.366044058385954</v>
      </c>
      <c r="F15" s="11" t="n">
        <v>8.039999999999999</v>
      </c>
      <c r="G15" s="11" t="n">
        <v>8.04191716814816</v>
      </c>
    </row>
    <row r="16">
      <c r="A16" s="11" t="inlineStr">
        <is>
          <t>89.99</t>
        </is>
      </c>
      <c r="B16" s="11" t="n">
        <v>4.16</v>
      </c>
      <c r="C16" s="11" t="n">
        <v>4.166164135049091</v>
      </c>
      <c r="D16" s="11" t="n">
        <v>2.66</v>
      </c>
      <c r="E16" s="11" t="n">
        <v>2.664521600022528</v>
      </c>
      <c r="F16" s="11" t="n">
        <v>9.050000000000001</v>
      </c>
      <c r="G16" s="11" t="n">
        <v>9.047986451608164</v>
      </c>
    </row>
    <row r="17">
      <c r="A17" s="11" t="inlineStr">
        <is>
          <t>100.03</t>
        </is>
      </c>
      <c r="B17" s="11" t="n">
        <v>4.62</v>
      </c>
      <c r="C17" s="11" t="n">
        <v>4.631736547992779</v>
      </c>
      <c r="D17" s="11" t="n">
        <v>2.95</v>
      </c>
      <c r="E17" s="11" t="n">
        <v>2.957669185558449</v>
      </c>
      <c r="F17" s="11" t="n">
        <v>10.05</v>
      </c>
      <c r="G17" s="11" t="n">
        <v>10.04903041397196</v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标黄修改</t>
        </is>
      </c>
      <c r="B2" s="13" t="inlineStr">
        <is>
          <t>已重新读取 Excel 内标黄单元格：惠斯通 ΔU=0.14 mV、RB 交换法 912.1/912.1/912.2、S-2 的 59.88/70.06、S-3 的 60.08。</t>
        </is>
      </c>
    </row>
    <row r="3">
      <c r="A3" s="2" t="inlineStr">
        <is>
          <t>RB 最终处理</t>
        </is>
      </c>
      <c r="B3" s="13" t="inlineStr">
        <is>
          <t>RB 最终值采用直接法和交换法共 6 个 R0 读数综合平均；详细页仍列出直接法、交换法、综合三行。</t>
        </is>
      </c>
    </row>
    <row r="4">
      <c r="A4" s="2" t="inlineStr">
        <is>
          <t>有效数字</t>
        </is>
      </c>
      <c r="B4" s="13" t="inlineStr">
        <is>
          <t>不确定度取 1 到 2 位；最终平均值保留到与不确定度相同的末位。表格数字设置了固定小数位，避免 Excel 把 80.00 等末尾 0 省略。</t>
        </is>
      </c>
    </row>
    <row r="5">
      <c r="A5" s="2" t="inlineStr">
        <is>
          <t>四端法图表</t>
        </is>
      </c>
      <c r="B5" s="13" t="inlineStr">
        <is>
          <t>按照 PPT 要求绘制 U-I 伏安特性曲线：散点为原始数据，同色直线为最小二乘拟合，横轴为电流 I/mA，纵轴为电压 U/mV。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2026-05-28T13:14:43Z</dcterms:created>
  <dcterms:modified xmlns:dcterms="http://purl.org/dc/terms/" xmlns:xsi="http://www.w3.org/2001/XMLSchema-instance" xsi:type="dcterms:W3CDTF">2026-05-28T13:14:43Z</dcterms:modified>
</cp:coreProperties>
</file>