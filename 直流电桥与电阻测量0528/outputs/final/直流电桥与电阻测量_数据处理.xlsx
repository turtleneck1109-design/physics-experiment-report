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README" sheetId="1" r:id="rId1"/>
    <sheet name="结果汇总" sheetId="2" r:id="rId2"/>
    <sheet name="惠斯通电桥" sheetId="3" r:id="rId3"/>
    <sheet name="四端法原始数据" sheetId="4" r:id="rId4"/>
    <sheet name="四端法拟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<sst xmlns="http://schemas.openxmlformats.org/spreadsheetml/2006/main" count="163" uniqueCount="89">
  <si>
    <t>直流电桥与电阻测量实验数据处理</t>
  </si>
  <si>
    <t/>
  </si>
  <si>
    <t>数据来源</t>
  </si>
  <si>
    <t>当前文件夹内手写实验记录照片；RB 的 ΔU 读作 0.143 mV，若原记录不是该值可在“惠斯通电桥”中直接修改。</t>
  </si>
  <si>
    <t>惠斯通公式</t>
  </si>
  <si>
    <t>Rx = (R1/R2) × R0</t>
  </si>
  <si>
    <t>A 类不确定度</t>
  </si>
  <si>
    <t>ΔA = 2.48 × σ，n = 3</t>
  </si>
  <si>
    <t>B 类不确定度</t>
  </si>
  <si>
    <t>按电阻箱各十进位误差累加，并加残余电阻 0.020 Ω；取三次测量 ΔB 最大值。</t>
  </si>
  <si>
    <t>R0 合成不确定度</t>
  </si>
  <si>
    <t>u_R0 = SQRT(ΔA^2 + ΔBmax^2)</t>
  </si>
  <si>
    <t>Rx 相对不确定度</t>
  </si>
  <si>
    <t>u_rRx = SQRT(0.05%^2 + 0.05%^2 + u_rR0^2)</t>
  </si>
  <si>
    <t>四端法拟合</t>
  </si>
  <si>
    <t>用最小二乘法拟合 U(mV) = R(Ω) × I(mA) + b，斜率即电阻 R。</t>
  </si>
  <si>
    <t>电阻率</t>
  </si>
  <si>
    <t>ρ = R × π(d/2)^2 / L，d 和 L 在公式中转换为 m。</t>
  </si>
  <si>
    <t>有效数字</t>
  </si>
  <si>
    <t>最终结果按 PPT 要求保留：平均值有效数字充足，不确定度取 1 到 2 位，相对不确定度取 1 到 2 位。</t>
  </si>
  <si>
    <t>输出说明</t>
  </si>
  <si>
    <t>所有主要派生量均保留为公式，便于检查和修改原始读数。</t>
  </si>
  <si>
    <t>项目</t>
  </si>
  <si>
    <t>对象</t>
  </si>
  <si>
    <t>最终结果</t>
  </si>
  <si>
    <t>相对不确定度</t>
  </si>
  <si>
    <t>拟合电阻 R/Ω</t>
  </si>
  <si>
    <t>电阻率 ρ/(Ω·m)</t>
  </si>
  <si>
    <t>备注</t>
  </si>
  <si>
    <t>惠斯通电桥</t>
  </si>
  <si>
    <t>RA</t>
  </si>
  <si>
    <t>R1/R2 = 100</t>
  </si>
  <si>
    <t>RB</t>
  </si>
  <si>
    <t>R1/R2 = 1</t>
  </si>
  <si>
    <t>RC</t>
  </si>
  <si>
    <t>R1/R2 = 0.1</t>
  </si>
  <si>
    <t>四端法</t>
  </si>
  <si>
    <t>S-1</t>
  </si>
  <si>
    <t>d=0.506 mm, L=14.20 mm</t>
  </si>
  <si>
    <t>S-2</t>
  </si>
  <si>
    <t>d=0.510 mm, L=14.20 mm</t>
  </si>
  <si>
    <t>S-3</t>
  </si>
  <si>
    <t>d=0.452 mm, L=14.20 mm</t>
  </si>
  <si>
    <t>Rx</t>
  </si>
  <si>
    <t>万用表粗测</t>
  </si>
  <si>
    <t>R1 (Ω)</t>
  </si>
  <si>
    <t>R2 (Ω)</t>
  </si>
  <si>
    <t>R0-1 (Ω)</t>
  </si>
  <si>
    <t>R0-2 (Ω)</t>
  </si>
  <si>
    <t>R0-3 (Ω)</t>
  </si>
  <si>
    <t>I (mA)</t>
  </si>
  <si>
    <t>ΔR0 (Ω)</t>
  </si>
  <si>
    <t>ΔU (mV)</t>
  </si>
  <si>
    <t>109.9 kΩ</t>
  </si>
  <si>
    <t>912.4 Ω</t>
  </si>
  <si>
    <r>
      <t>RB-</t>
    </r>
    <r>
      <rPr>
        <sz val="11"/>
        <rFont val="宋体"/>
        <charset val="134"/>
      </rPr>
      <t>交换法</t>
    </r>
  </si>
  <si>
    <t>51.15 Ω</t>
  </si>
  <si>
    <t>R0平均 (Ω)</t>
  </si>
  <si>
    <t>σ (Ω)</t>
  </si>
  <si>
    <t>ΔA (Ω)</t>
  </si>
  <si>
    <t>ΔB1 (Ω)</t>
  </si>
  <si>
    <t>ΔB2 (Ω)</t>
  </si>
  <si>
    <t>ΔB3 (Ω)</t>
  </si>
  <si>
    <t>ΔBmax (Ω)</t>
  </si>
  <si>
    <t>u_R0 (Ω)</t>
  </si>
  <si>
    <t>u_rR0 (%)</t>
  </si>
  <si>
    <t>R1/R2</t>
  </si>
  <si>
    <t>Rx平均 (Ω)</t>
  </si>
  <si>
    <t>u_rRx (%)</t>
  </si>
  <si>
    <t>u_Rx (Ω)</t>
  </si>
  <si>
    <t>最终表示</t>
  </si>
  <si>
    <t>灵敏度计算</t>
  </si>
  <si>
    <t>ΔU/(ΔR0/R0)</t>
  </si>
  <si>
    <t>ΔR0/R0</t>
  </si>
  <si>
    <t>样品</t>
  </si>
  <si>
    <t>点号</t>
  </si>
  <si>
    <t>U (mV)</t>
  </si>
  <si>
    <t>直径 d (mm)</t>
  </si>
  <si>
    <t>长度 L (mm)</t>
  </si>
  <si>
    <t>截距 b/mV</t>
  </si>
  <si>
    <t>R²</t>
  </si>
  <si>
    <t>横截面积 S/m²</t>
  </si>
  <si>
    <t>拟合方程</t>
  </si>
  <si>
    <t>S-1 实测</t>
  </si>
  <si>
    <t>S-1 拟合</t>
  </si>
  <si>
    <t>S-2 实测</t>
  </si>
  <si>
    <t>S-2 拟合</t>
  </si>
  <si>
    <t>S-3 实测</t>
  </si>
  <si>
    <t>S-3 拟合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</si>
</sst>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00"/>
    <numFmt numFmtId="178" formatCode="0.000"/>
    <numFmt numFmtId="179" formatCode="0.0000"/>
    <numFmt numFmtId="180" formatCode="0.000%"/>
  </numFmts>
  <fonts count="23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11" fontId="0" fillId="0" borderId="0" xfId="49" applyNumberFormat="1" applyFont="1" applyFill="1" applyBorder="1"/>
    <xf numFmtId="2" fontId="0" fillId="0" borderId="0" xfId="49" applyNumberFormat="1" applyFont="1" applyFill="1" applyBorder="1"/>
    <xf numFmtId="2" fontId="0" fillId="3" borderId="0" xfId="49" applyNumberFormat="1" applyFont="1" applyFill="1" applyBorder="1"/>
    <xf numFmtId="0" fontId="0" fillId="3" borderId="0" xfId="49" applyFont="1" applyFill="1"/>
    <xf numFmtId="0" fontId="0" fillId="3" borderId="0" xfId="49" applyFill="1"/>
    <xf numFmtId="178" fontId="0" fillId="0" borderId="0" xfId="49" applyNumberFormat="1" applyFont="1" applyFill="1" applyBorder="1"/>
    <xf numFmtId="179" fontId="0" fillId="0" borderId="0" xfId="49" applyNumberFormat="1" applyFont="1" applyFill="1" applyBorder="1"/>
    <xf numFmtId="180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四端法伏安特性曲线与最小二乘拟合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"S-1 实测"</c:f>
              <c:strCache>
                <c:ptCount val="1"/>
                <c:pt idx="0">
                  <c:v>S-1 实测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四端法拟合!$B$9:$B$19</c:f>
              <c:numCache>
                <c:formatCode>0.00</c:formatCode>
                <c:ptCount val="11"/>
                <c:pt idx="0">
                  <c:v>0</c:v>
                </c:pt>
                <c:pt idx="1">
                  <c:v>0.46</c:v>
                </c:pt>
                <c:pt idx="2">
                  <c:v>0.92</c:v>
                </c:pt>
                <c:pt idx="3">
                  <c:v>1.38</c:v>
                </c:pt>
                <c:pt idx="4">
                  <c:v>1.85</c:v>
                </c:pt>
                <c:pt idx="5">
                  <c:v>2.28</c:v>
                </c:pt>
                <c:pt idx="6">
                  <c:v>2.76</c:v>
                </c:pt>
                <c:pt idx="7">
                  <c:v>3.32</c:v>
                </c:pt>
                <c:pt idx="8">
                  <c:v>3.69</c:v>
                </c:pt>
                <c:pt idx="9">
                  <c:v>4.16</c:v>
                </c:pt>
                <c:pt idx="10">
                  <c:v>4.62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"S-1 拟合"</c:f>
              <c:strCache>
                <c:ptCount val="1"/>
                <c:pt idx="0">
                  <c:v>S-1 拟合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四端法拟合!$C$9:$C$19</c:f>
              <c:numCache>
                <c:formatCode>0.00</c:formatCode>
                <c:ptCount val="11"/>
                <c:pt idx="0">
                  <c:v>-0.0068300323615111</c:v>
                </c:pt>
                <c:pt idx="1">
                  <c:v>0.458278663039404</c:v>
                </c:pt>
                <c:pt idx="2">
                  <c:v>0.924778511068637</c:v>
                </c:pt>
                <c:pt idx="3">
                  <c:v>1.38385887841351</c:v>
                </c:pt>
                <c:pt idx="4">
                  <c:v>1.84711270364333</c:v>
                </c:pt>
                <c:pt idx="5">
                  <c:v>2.31593113938643</c:v>
                </c:pt>
                <c:pt idx="6">
                  <c:v>2.77640265935962</c:v>
                </c:pt>
                <c:pt idx="7">
                  <c:v>3.23965648458944</c:v>
                </c:pt>
                <c:pt idx="8">
                  <c:v>3.70291030981927</c:v>
                </c:pt>
                <c:pt idx="9">
                  <c:v>4.16616413504909</c:v>
                </c:pt>
                <c:pt idx="10">
                  <c:v>4.63173654799278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"S-2 实测"</c:f>
              <c:strCache>
                <c:ptCount val="1"/>
                <c:pt idx="0">
                  <c:v>S-2 实测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四端法拟合!$D$9:$D$19</c:f>
              <c:numCache>
                <c:formatCode>0.00</c:formatCode>
                <c:ptCount val="11"/>
                <c:pt idx="0">
                  <c:v>0</c:v>
                </c:pt>
                <c:pt idx="1">
                  <c:v>0.3</c:v>
                </c:pt>
                <c:pt idx="2">
                  <c:v>0.58</c:v>
                </c:pt>
                <c:pt idx="3">
                  <c:v>0.89</c:v>
                </c:pt>
                <c:pt idx="4">
                  <c:v>1.18</c:v>
                </c:pt>
                <c:pt idx="5">
                  <c:v>1.48</c:v>
                </c:pt>
                <c:pt idx="6">
                  <c:v>1.77</c:v>
                </c:pt>
                <c:pt idx="7">
                  <c:v>2.1</c:v>
                </c:pt>
                <c:pt idx="8">
                  <c:v>2.36</c:v>
                </c:pt>
                <c:pt idx="9">
                  <c:v>2.66</c:v>
                </c:pt>
                <c:pt idx="10">
                  <c:v>2.95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"S-2 拟合"</c:f>
              <c:strCache>
                <c:ptCount val="1"/>
                <c:pt idx="0">
                  <c:v>S-2 拟合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四端法拟合!$E$9:$E$19</c:f>
              <c:numCache>
                <c:formatCode>0.00</c:formatCode>
                <c:ptCount val="11"/>
                <c:pt idx="0">
                  <c:v>-0.00134477632079824</c:v>
                </c:pt>
                <c:pt idx="1">
                  <c:v>0.295652221954483</c:v>
                </c:pt>
                <c:pt idx="2">
                  <c:v>0.593537546246539</c:v>
                </c:pt>
                <c:pt idx="3">
                  <c:v>0.88668513178246</c:v>
                </c:pt>
                <c:pt idx="4">
                  <c:v>1.18249769536871</c:v>
                </c:pt>
                <c:pt idx="5">
                  <c:v>1.48186356302206</c:v>
                </c:pt>
                <c:pt idx="6">
                  <c:v>1.77589947457475</c:v>
                </c:pt>
                <c:pt idx="7">
                  <c:v>2.071712038161</c:v>
                </c:pt>
                <c:pt idx="8">
                  <c:v>2.36752460174725</c:v>
                </c:pt>
                <c:pt idx="9">
                  <c:v>2.66333716533349</c:v>
                </c:pt>
                <c:pt idx="10">
                  <c:v>2.96063027228103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"S-3 实测"</c:f>
              <c:strCache>
                <c:ptCount val="1"/>
                <c:pt idx="0">
                  <c:v>S-3 实测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四端法拟合!$F$9:$F$19</c:f>
              <c:numCache>
                <c:formatCode>0.00</c:formatCode>
                <c:ptCount val="11"/>
                <c:pt idx="0">
                  <c:v>0</c:v>
                </c:pt>
                <c:pt idx="1">
                  <c:v>1.01</c:v>
                </c:pt>
                <c:pt idx="2">
                  <c:v>2.02</c:v>
                </c:pt>
                <c:pt idx="3">
                  <c:v>3.01</c:v>
                </c:pt>
                <c:pt idx="4">
                  <c:v>4.02</c:v>
                </c:pt>
                <c:pt idx="5">
                  <c:v>5.02</c:v>
                </c:pt>
                <c:pt idx="6">
                  <c:v>6.04</c:v>
                </c:pt>
                <c:pt idx="7">
                  <c:v>7.04</c:v>
                </c:pt>
                <c:pt idx="8">
                  <c:v>8.04</c:v>
                </c:pt>
                <c:pt idx="9">
                  <c:v>9.05</c:v>
                </c:pt>
                <c:pt idx="10">
                  <c:v>10.05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"S-3 拟合"</c:f>
              <c:strCache>
                <c:ptCount val="1"/>
                <c:pt idx="0">
                  <c:v>S-3 拟合</c:v>
                </c:pt>
              </c:strCache>
            </c:strRef>
          </c:tx>
          <c:dLbls>
            <c:delete val="1"/>
          </c:dLbls>
          <c:cat>
            <c:numRef>
              <c:f>四端法拟合!$A$9:$A$19</c:f>
              <c:numCache>
                <c:formatCode>0.00</c:formatCode>
                <c:ptCount val="11"/>
                <c:pt idx="0" c:formatCode="0.00">
                  <c:v>0</c:v>
                </c:pt>
                <c:pt idx="1" c:formatCode="0.00">
                  <c:v>10.03</c:v>
                </c:pt>
                <c:pt idx="2" c:formatCode="0.00">
                  <c:v>20.09</c:v>
                </c:pt>
                <c:pt idx="3" c:formatCode="0.00">
                  <c:v>29.99</c:v>
                </c:pt>
                <c:pt idx="4" c:formatCode="0.00">
                  <c:v>39.98</c:v>
                </c:pt>
                <c:pt idx="5" c:formatCode="0.00">
                  <c:v>50.09</c:v>
                </c:pt>
                <c:pt idx="6" c:formatCode="0.00">
                  <c:v>60.02</c:v>
                </c:pt>
                <c:pt idx="7" c:formatCode="0.00">
                  <c:v>70.01</c:v>
                </c:pt>
                <c:pt idx="8" c:formatCode="0.00">
                  <c:v>80</c:v>
                </c:pt>
                <c:pt idx="9" c:formatCode="0.00">
                  <c:v>89.99</c:v>
                </c:pt>
                <c:pt idx="10" c:formatCode="0.00">
                  <c:v>100.03</c:v>
                </c:pt>
              </c:numCache>
            </c:numRef>
          </c:cat>
          <c:val>
            <c:numRef>
              <c:f>四端法拟合!$G$9:$G$19</c:f>
              <c:numCache>
                <c:formatCode>0.00</c:formatCode>
                <c:ptCount val="11"/>
                <c:pt idx="0">
                  <c:v>0.00039835000281259</c:v>
                </c:pt>
                <c:pt idx="1">
                  <c:v>1.0084777619013</c:v>
                </c:pt>
                <c:pt idx="2">
                  <c:v>2.01957236645751</c:v>
                </c:pt>
                <c:pt idx="3">
                  <c:v>3.01458594350586</c:v>
                </c:pt>
                <c:pt idx="4">
                  <c:v>4.01864509852738</c:v>
                </c:pt>
                <c:pt idx="5">
                  <c:v>5.0347650241798</c:v>
                </c:pt>
                <c:pt idx="6">
                  <c:v>6.03279379388587</c:v>
                </c:pt>
                <c:pt idx="7">
                  <c:v>7.0368529489074</c:v>
                </c:pt>
                <c:pt idx="8">
                  <c:v>8.04091210392892</c:v>
                </c:pt>
                <c:pt idx="9">
                  <c:v>9.04497125895044</c:v>
                </c:pt>
                <c:pt idx="10">
                  <c:v>10.0540557350682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9296400" y="177800"/>
        <a:ext cx="10972800" cy="33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showGridLines="0" workbookViewId="0">
      <selection activeCell="B33" sqref="B33"/>
    </sheetView>
  </sheetViews>
  <sheetFormatPr defaultColWidth="9" defaultRowHeight="14"/>
  <cols>
    <col min="1" max="1" width="22" customWidth="1"/>
    <col min="2" max="2" width="110" customWidth="1"/>
  </cols>
  <sheetData>
    <row r="1" spans="1:17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1</v>
      </c>
      <c r="B12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showGridLines="0" workbookViewId="0">
      <selection activeCell="A1" sqref="A1"/>
    </sheetView>
  </sheetViews>
  <sheetFormatPr defaultColWidth="9" defaultRowHeight="14" outlineLevelRow="7"/>
  <cols>
    <col min="1" max="1" width="16" customWidth="1"/>
    <col min="2" max="2" width="12" customWidth="1"/>
    <col min="3" max="3" width="24" customWidth="1"/>
    <col min="4" max="5" width="16" customWidth="1"/>
    <col min="6" max="6" width="18" customWidth="1"/>
    <col min="7" max="7" width="36" customWidth="1"/>
  </cols>
  <sheetData>
    <row r="1" spans="1:1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7">
      <c r="A2" t="s">
        <v>29</v>
      </c>
      <c r="B2" t="s">
        <v>30</v>
      </c>
      <c r="C2" t="str">
        <f>惠斯通电桥!O14</f>
        <v>110.02 ± 0.16 kΩ</v>
      </c>
      <c r="D2" s="11">
        <f>惠斯通电桥!M14/100</f>
        <v>0.00141152291171385</v>
      </c>
      <c r="E2" t="s">
        <v>1</v>
      </c>
      <c r="F2" t="s">
        <v>1</v>
      </c>
      <c r="G2" t="s">
        <v>31</v>
      </c>
    </row>
    <row r="3" spans="1:7">
      <c r="A3" t="s">
        <v>29</v>
      </c>
      <c r="B3" t="s">
        <v>32</v>
      </c>
      <c r="C3" t="str">
        <f>惠斯通电桥!O15</f>
        <v>911.9 ± 1.2 Ω</v>
      </c>
      <c r="D3" s="11">
        <f>惠斯通电桥!M15/100</f>
        <v>0.0012715129594154</v>
      </c>
      <c r="E3" t="s">
        <v>1</v>
      </c>
      <c r="F3" t="s">
        <v>1</v>
      </c>
      <c r="G3" t="s">
        <v>33</v>
      </c>
    </row>
    <row r="4" spans="1:7">
      <c r="A4" t="s">
        <v>29</v>
      </c>
      <c r="B4" t="s">
        <v>34</v>
      </c>
      <c r="C4" t="str">
        <f>惠斯通电桥!O16</f>
        <v>50.93 ± 0.07 Ω</v>
      </c>
      <c r="D4" s="11">
        <f>惠斯通电桥!M16/100</f>
        <v>0.00135505813251911</v>
      </c>
      <c r="E4" t="s">
        <v>1</v>
      </c>
      <c r="F4" t="s">
        <v>1</v>
      </c>
      <c r="G4" t="s">
        <v>35</v>
      </c>
    </row>
    <row r="6" spans="1:7">
      <c r="A6" t="s">
        <v>36</v>
      </c>
      <c r="B6" t="s">
        <v>37</v>
      </c>
      <c r="C6" t="s">
        <v>1</v>
      </c>
      <c r="D6" t="s">
        <v>1</v>
      </c>
      <c r="E6" s="2">
        <f>四端法拟合!B3</f>
        <v>0.0463717542772598</v>
      </c>
      <c r="F6" s="4">
        <f>四端法拟合!F3</f>
        <v>6.56683488383085e-7</v>
      </c>
      <c r="G6" t="s">
        <v>38</v>
      </c>
    </row>
    <row r="7" spans="1:7">
      <c r="A7" t="s">
        <v>36</v>
      </c>
      <c r="B7" t="s">
        <v>39</v>
      </c>
      <c r="C7" t="s">
        <v>1</v>
      </c>
      <c r="D7" t="s">
        <v>1</v>
      </c>
      <c r="E7" s="2">
        <f>四端法拟合!B4</f>
        <v>0.0296108672258505</v>
      </c>
      <c r="F7" s="4">
        <f>四端法拟合!F4</f>
        <v>4.2598373404075e-7</v>
      </c>
      <c r="G7" t="s">
        <v>40</v>
      </c>
    </row>
    <row r="8" spans="1:7">
      <c r="A8" t="s">
        <v>36</v>
      </c>
      <c r="B8" t="s">
        <v>41</v>
      </c>
      <c r="C8" t="s">
        <v>1</v>
      </c>
      <c r="D8" t="s">
        <v>1</v>
      </c>
      <c r="E8" s="2">
        <f>四端法拟合!B5</f>
        <v>0.100506421924076</v>
      </c>
      <c r="F8" s="4">
        <f>四端法拟合!F5</f>
        <v>1.13572247130369e-6</v>
      </c>
      <c r="G8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showGridLines="0" tabSelected="1" workbookViewId="0">
      <selection activeCell="L20" sqref="L20"/>
    </sheetView>
  </sheetViews>
  <sheetFormatPr defaultColWidth="9" defaultRowHeight="14"/>
  <cols>
    <col min="1" max="1" width="10" customWidth="1"/>
    <col min="2" max="2" width="14" customWidth="1"/>
    <col min="3" max="4" width="10" customWidth="1"/>
    <col min="5" max="7" width="12" customWidth="1"/>
    <col min="8" max="10" width="10" customWidth="1"/>
    <col min="11" max="13" width="12" customWidth="1"/>
    <col min="14" max="14" width="14" customWidth="1"/>
    <col min="15" max="15" width="20" customWidth="1"/>
  </cols>
  <sheetData>
    <row r="1" spans="1:1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/>
      <c r="L1" s="1"/>
      <c r="M1" s="1"/>
      <c r="N1" s="1"/>
      <c r="O1" s="1"/>
      <c r="P1" s="1"/>
      <c r="Q1" s="1"/>
    </row>
    <row r="2" spans="1:10">
      <c r="A2" t="s">
        <v>30</v>
      </c>
      <c r="B2" t="s">
        <v>53</v>
      </c>
      <c r="C2">
        <v>10000</v>
      </c>
      <c r="D2">
        <v>100</v>
      </c>
      <c r="E2">
        <v>1100.3</v>
      </c>
      <c r="F2">
        <v>1100.4</v>
      </c>
      <c r="G2">
        <v>1099.9</v>
      </c>
      <c r="H2">
        <v>9.366</v>
      </c>
      <c r="I2">
        <v>0.1</v>
      </c>
      <c r="J2">
        <v>0.09</v>
      </c>
    </row>
    <row r="3" spans="1:10">
      <c r="A3" t="s">
        <v>32</v>
      </c>
      <c r="B3" t="s">
        <v>54</v>
      </c>
      <c r="C3">
        <v>1000</v>
      </c>
      <c r="D3">
        <v>1000</v>
      </c>
      <c r="E3">
        <v>911.9</v>
      </c>
      <c r="F3">
        <v>911.9</v>
      </c>
      <c r="G3">
        <v>912</v>
      </c>
      <c r="H3">
        <v>5.451</v>
      </c>
      <c r="I3">
        <v>0.1</v>
      </c>
      <c r="J3" s="8">
        <v>0.14</v>
      </c>
    </row>
    <row r="4" spans="1:10">
      <c r="A4" s="7" t="s">
        <v>55</v>
      </c>
      <c r="B4" s="8"/>
      <c r="C4" s="8"/>
      <c r="D4" s="8"/>
      <c r="E4" s="8">
        <v>912.1</v>
      </c>
      <c r="F4" s="8">
        <v>912.1</v>
      </c>
      <c r="G4" s="8">
        <v>912.2</v>
      </c>
      <c r="H4" s="8"/>
      <c r="I4" s="8"/>
      <c r="J4" s="8"/>
    </row>
    <row r="5" spans="1:10">
      <c r="A5" t="s">
        <v>34</v>
      </c>
      <c r="B5" t="s">
        <v>56</v>
      </c>
      <c r="C5">
        <v>100</v>
      </c>
      <c r="D5">
        <v>1000</v>
      </c>
      <c r="E5">
        <v>509.2</v>
      </c>
      <c r="F5">
        <v>509.3</v>
      </c>
      <c r="G5">
        <v>509.3</v>
      </c>
      <c r="H5">
        <v>17.79</v>
      </c>
      <c r="I5">
        <v>0.1</v>
      </c>
      <c r="J5">
        <v>0.11</v>
      </c>
    </row>
    <row r="7" spans="1:15">
      <c r="A7" t="s">
        <v>43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</row>
    <row r="14" spans="1:15">
      <c r="A14" t="s">
        <v>30</v>
      </c>
      <c r="B14" s="9">
        <f>AVERAGE(E2:G2)</f>
        <v>1100.2</v>
      </c>
      <c r="C14" s="9">
        <f>_xlfn.STDEV.S(E2:G2)</f>
        <v>0.264575131106433</v>
      </c>
      <c r="D14" s="9">
        <f>2.48*C14</f>
        <v>0.656146325143955</v>
      </c>
      <c r="E14" s="9">
        <f>INT(E2/10000)*10000*0.1%+INT(MOD(E2,10000)/1000)*1000*0.1%+INT(MOD(E2,1000)/100)*100*0.1%+INT(MOD(E2,100)/10)*10*0.1%+INT(MOD(E2,10)/1)*1*0.5%+MOD(E2,1)*2%+0.02</f>
        <v>1.126</v>
      </c>
      <c r="F14" s="9">
        <f>INT(F2/10000)*10000*0.1%+INT(MOD(F2,10000)/1000)*1000*0.1%+INT(MOD(F2,1000)/100)*100*0.1%+INT(MOD(F2,100)/10)*10*0.1%+INT(MOD(F2,10)/1)*1*0.5%+MOD(F2,1)*2%+0.02</f>
        <v>1.128</v>
      </c>
      <c r="G14" s="9">
        <f>INT(G2/10000)*10000*0.1%+INT(MOD(G2,10000)/1000)*1000*0.1%+INT(MOD(G2,1000)/100)*100*0.1%+INT(MOD(G2,100)/10)*10*0.1%+INT(MOD(G2,10)/1)*1*0.5%+MOD(G2,1)*2%+0.02</f>
        <v>1.173</v>
      </c>
      <c r="H14" s="9">
        <f>MAX(E14:G14)</f>
        <v>1.173</v>
      </c>
      <c r="I14" s="9">
        <f>SQRT(D14^2+H14^2)</f>
        <v>1.3440450141271</v>
      </c>
      <c r="J14" s="10">
        <f>I14/B14*100</f>
        <v>0.122163698793592</v>
      </c>
      <c r="K14" s="10">
        <f>C2/D2</f>
        <v>100</v>
      </c>
      <c r="L14" s="10">
        <f>B14*K14</f>
        <v>110020</v>
      </c>
      <c r="M14" s="10">
        <f>SQRT(0.05%^2+0.05%^2+(J14/100)^2)*100</f>
        <v>0.141152291171385</v>
      </c>
      <c r="N14" s="9">
        <f>L14*(M14/100)</f>
        <v>155.295750746758</v>
      </c>
      <c r="O14" t="str">
        <f>TEXT(L14/1000,"0.00")&amp;" ± "&amp;TEXT(N14/1000,"0.00")&amp;" kΩ"</f>
        <v>110.02 ± 0.16 kΩ</v>
      </c>
    </row>
    <row r="15" spans="1:15">
      <c r="A15" t="s">
        <v>32</v>
      </c>
      <c r="B15" s="9">
        <f>AVERAGE(E3:G3)</f>
        <v>911.933333333333</v>
      </c>
      <c r="C15" s="9">
        <f>_xlfn.STDEV.S(E3:G3)</f>
        <v>0.0577350269189757</v>
      </c>
      <c r="D15" s="9">
        <f>2.48*C15</f>
        <v>0.14318286675906</v>
      </c>
      <c r="E15" s="9">
        <f>INT(E3/10000)*10000*0.1%+INT(MOD(E3,10000)/1000)*1000*0.1%+INT(MOD(E3,1000)/100)*100*0.1%+INT(MOD(E3,100)/10)*10*0.1%+INT(MOD(E3,10)/1)*1*0.5%+MOD(E3,1)*2%+0.02</f>
        <v>0.953</v>
      </c>
      <c r="F15" s="9">
        <f>INT(F3/10000)*10000*0.1%+INT(MOD(F3,10000)/1000)*1000*0.1%+INT(MOD(F3,1000)/100)*100*0.1%+INT(MOD(F3,100)/10)*10*0.1%+INT(MOD(F3,10)/1)*1*0.5%+MOD(F3,1)*2%+0.02</f>
        <v>0.953</v>
      </c>
      <c r="G15" s="9">
        <f>INT(G3/10000)*10000*0.1%+INT(MOD(G3,10000)/1000)*1000*0.1%+INT(MOD(G3,1000)/100)*100*0.1%+INT(MOD(G3,100)/10)*10*0.1%+INT(MOD(G3,10)/1)*1*0.5%+MOD(G3,1)*2%+0.02</f>
        <v>0.94</v>
      </c>
      <c r="H15" s="9">
        <f>MAX(E15:G15)</f>
        <v>0.953</v>
      </c>
      <c r="I15" s="9">
        <f>SQRT(D15^2+H15^2)</f>
        <v>0.963696183106139</v>
      </c>
      <c r="J15" s="10">
        <f>I15/B15*100</f>
        <v>0.105676165995995</v>
      </c>
      <c r="K15" s="10">
        <f>C3/D3</f>
        <v>1</v>
      </c>
      <c r="L15" s="10">
        <f>B15*K15</f>
        <v>911.933333333333</v>
      </c>
      <c r="M15" s="10">
        <f>SQRT(0.05%^2+0.05%^2+(J15/100)^2)*100</f>
        <v>0.12715129594154</v>
      </c>
      <c r="N15" s="9">
        <f>L15*(M15/100)</f>
        <v>1.15953505145621</v>
      </c>
      <c r="O15" t="str">
        <f>TEXT(L15,"0.0")&amp;" ± "&amp;TEXT(N15,"0.0")&amp;" Ω"</f>
        <v>911.9 ± 1.2 Ω</v>
      </c>
    </row>
    <row r="16" spans="1:15">
      <c r="A16" t="s">
        <v>34</v>
      </c>
      <c r="B16" s="9">
        <f>AVERAGE(E5:G5)</f>
        <v>509.266666666667</v>
      </c>
      <c r="C16" s="9">
        <f>_xlfn.STDEV.S(E5:G5)</f>
        <v>0.0577350269189757</v>
      </c>
      <c r="D16" s="9">
        <f>2.48*C16</f>
        <v>0.14318286675906</v>
      </c>
      <c r="E16" s="9">
        <f>INT(E5/10000)*10000*0.1%+INT(MOD(E5,10000)/1000)*1000*0.1%+INT(MOD(E5,1000)/100)*100*0.1%+INT(MOD(E5,100)/10)*10*0.1%+INT(MOD(E5,10)/1)*1*0.5%+MOD(E5,1)*2%+0.02</f>
        <v>0.569</v>
      </c>
      <c r="F16" s="9">
        <f>INT(F5/10000)*10000*0.1%+INT(MOD(F5,10000)/1000)*1000*0.1%+INT(MOD(F5,1000)/100)*100*0.1%+INT(MOD(F5,100)/10)*10*0.1%+INT(MOD(F5,10)/1)*1*0.5%+MOD(F5,1)*2%+0.02</f>
        <v>0.571</v>
      </c>
      <c r="G16" s="9">
        <f>INT(G5/10000)*10000*0.1%+INT(MOD(G5,10000)/1000)*1000*0.1%+INT(MOD(G5,1000)/100)*100*0.1%+INT(MOD(G5,100)/10)*10*0.1%+INT(MOD(G5,10)/1)*1*0.5%+MOD(G5,1)*2%+0.02</f>
        <v>0.571</v>
      </c>
      <c r="H16" s="9">
        <f>MAX(E16:G16)</f>
        <v>0.571</v>
      </c>
      <c r="I16" s="9">
        <f>SQRT(D16^2+H16^2)</f>
        <v>0.588678463452964</v>
      </c>
      <c r="J16" s="10">
        <f>I16/B16*100</f>
        <v>0.115593362374584</v>
      </c>
      <c r="K16" s="10">
        <f>C5/D5</f>
        <v>0.1</v>
      </c>
      <c r="L16" s="10">
        <f>B16*K16</f>
        <v>50.9266666666667</v>
      </c>
      <c r="M16" s="10">
        <f>SQRT(0.05%^2+0.05%^2+(J16/100)^2)*100</f>
        <v>0.135505813251911</v>
      </c>
      <c r="N16" s="9">
        <f>L16*(M16/100)</f>
        <v>0.0690085938287567</v>
      </c>
      <c r="O16" t="str">
        <f>TEXT(L16,"0.00")&amp;" ± "&amp;TEXT(N16,"0.00")&amp;" Ω"</f>
        <v>50.93 ± 0.07 Ω</v>
      </c>
    </row>
    <row r="20" spans="1:4">
      <c r="A20" t="s">
        <v>71</v>
      </c>
      <c r="B20" t="s">
        <v>1</v>
      </c>
      <c r="C20" t="s">
        <v>1</v>
      </c>
      <c r="D20" t="s">
        <v>1</v>
      </c>
    </row>
    <row r="21" spans="1:4">
      <c r="A21" t="s">
        <v>43</v>
      </c>
      <c r="B21" t="s">
        <v>72</v>
      </c>
      <c r="C21" t="s">
        <v>52</v>
      </c>
      <c r="D21" t="s">
        <v>73</v>
      </c>
    </row>
    <row r="22" spans="1:4">
      <c r="A22" t="s">
        <v>30</v>
      </c>
      <c r="B22" s="9">
        <f>J2/(I2/B14)</f>
        <v>990.18</v>
      </c>
      <c r="C22" s="9">
        <f>J2</f>
        <v>0.09</v>
      </c>
      <c r="D22" s="3">
        <f>I2/B14</f>
        <v>9.0892564988184e-5</v>
      </c>
    </row>
    <row r="23" spans="1:4">
      <c r="A23" t="s">
        <v>32</v>
      </c>
      <c r="B23" s="9">
        <f>J3/(I3/B15)</f>
        <v>1276.70666666667</v>
      </c>
      <c r="C23" s="9">
        <f>J3</f>
        <v>0.14</v>
      </c>
      <c r="D23" s="3">
        <f>I3/B15</f>
        <v>0.000109657138679728</v>
      </c>
    </row>
    <row r="24" spans="1:4">
      <c r="A24" t="s">
        <v>34</v>
      </c>
      <c r="B24" s="9">
        <f>J5/(I5/B16)</f>
        <v>560.193333333333</v>
      </c>
      <c r="C24" s="9">
        <f>J5</f>
        <v>0.11</v>
      </c>
      <c r="D24" s="3">
        <f>I5/B16</f>
        <v>0.000196360780206833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showGridLines="0" zoomScale="115" zoomScaleNormal="115" workbookViewId="0">
      <selection activeCell="H21" sqref="H21"/>
    </sheetView>
  </sheetViews>
  <sheetFormatPr defaultColWidth="9" defaultRowHeight="14"/>
  <cols>
    <col min="1" max="1" width="10" customWidth="1"/>
    <col min="2" max="2" width="8" customWidth="1"/>
    <col min="3" max="4" width="12" customWidth="1"/>
    <col min="5" max="6" width="14" customWidth="1"/>
  </cols>
  <sheetData>
    <row r="1" spans="1:17">
      <c r="A1" s="1" t="s">
        <v>74</v>
      </c>
      <c r="B1" s="1" t="s">
        <v>75</v>
      </c>
      <c r="C1" s="1" t="s">
        <v>50</v>
      </c>
      <c r="D1" s="1" t="s">
        <v>76</v>
      </c>
      <c r="E1" s="1" t="s">
        <v>77</v>
      </c>
      <c r="F1" s="1" t="s">
        <v>78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6">
      <c r="A2" t="s">
        <v>37</v>
      </c>
      <c r="B2">
        <v>0</v>
      </c>
      <c r="C2" s="5">
        <v>0</v>
      </c>
      <c r="D2" s="5">
        <v>0</v>
      </c>
      <c r="E2" s="5">
        <v>0.506</v>
      </c>
      <c r="F2" s="5">
        <v>14.2</v>
      </c>
    </row>
    <row r="3" spans="1:6">
      <c r="A3" t="s">
        <v>37</v>
      </c>
      <c r="B3">
        <v>1</v>
      </c>
      <c r="C3" s="5">
        <v>10.03</v>
      </c>
      <c r="D3" s="5">
        <v>0.46</v>
      </c>
      <c r="E3" s="5">
        <v>0.506</v>
      </c>
      <c r="F3" s="5">
        <v>14.2</v>
      </c>
    </row>
    <row r="4" spans="1:6">
      <c r="A4" t="s">
        <v>37</v>
      </c>
      <c r="B4">
        <v>2</v>
      </c>
      <c r="C4" s="5">
        <v>20.09</v>
      </c>
      <c r="D4" s="5">
        <v>0.92</v>
      </c>
      <c r="E4" s="5">
        <v>0.506</v>
      </c>
      <c r="F4" s="5">
        <v>14.2</v>
      </c>
    </row>
    <row r="5" spans="1:6">
      <c r="A5" t="s">
        <v>37</v>
      </c>
      <c r="B5">
        <v>3</v>
      </c>
      <c r="C5" s="5">
        <v>29.99</v>
      </c>
      <c r="D5" s="5">
        <v>1.38</v>
      </c>
      <c r="E5" s="5">
        <v>0.506</v>
      </c>
      <c r="F5" s="5">
        <v>14.2</v>
      </c>
    </row>
    <row r="6" spans="1:6">
      <c r="A6" t="s">
        <v>37</v>
      </c>
      <c r="B6">
        <v>4</v>
      </c>
      <c r="C6" s="5">
        <v>39.98</v>
      </c>
      <c r="D6" s="5">
        <v>1.85</v>
      </c>
      <c r="E6" s="5">
        <v>0.506</v>
      </c>
      <c r="F6" s="5">
        <v>14.2</v>
      </c>
    </row>
    <row r="7" spans="1:6">
      <c r="A7" t="s">
        <v>37</v>
      </c>
      <c r="B7">
        <v>5</v>
      </c>
      <c r="C7" s="5">
        <v>50.09</v>
      </c>
      <c r="D7" s="5">
        <v>2.28</v>
      </c>
      <c r="E7" s="5">
        <v>0.506</v>
      </c>
      <c r="F7" s="5">
        <v>14.2</v>
      </c>
    </row>
    <row r="8" spans="1:6">
      <c r="A8" t="s">
        <v>37</v>
      </c>
      <c r="B8">
        <v>6</v>
      </c>
      <c r="C8" s="5">
        <v>60.02</v>
      </c>
      <c r="D8" s="5">
        <v>2.76</v>
      </c>
      <c r="E8" s="5">
        <v>0.506</v>
      </c>
      <c r="F8" s="5">
        <v>14.2</v>
      </c>
    </row>
    <row r="9" spans="1:6">
      <c r="A9" t="s">
        <v>37</v>
      </c>
      <c r="B9">
        <v>7</v>
      </c>
      <c r="C9" s="5">
        <v>70.01</v>
      </c>
      <c r="D9" s="5">
        <v>3.32</v>
      </c>
      <c r="E9" s="5">
        <v>0.506</v>
      </c>
      <c r="F9" s="5">
        <v>14.2</v>
      </c>
    </row>
    <row r="10" spans="1:6">
      <c r="A10" t="s">
        <v>37</v>
      </c>
      <c r="B10">
        <v>8</v>
      </c>
      <c r="C10" s="5">
        <v>80</v>
      </c>
      <c r="D10" s="5">
        <v>3.69</v>
      </c>
      <c r="E10" s="5">
        <v>0.506</v>
      </c>
      <c r="F10" s="5">
        <v>14.2</v>
      </c>
    </row>
    <row r="11" spans="1:6">
      <c r="A11" t="s">
        <v>37</v>
      </c>
      <c r="B11">
        <v>9</v>
      </c>
      <c r="C11" s="5">
        <v>89.99</v>
      </c>
      <c r="D11" s="5">
        <v>4.16</v>
      </c>
      <c r="E11" s="5">
        <v>0.506</v>
      </c>
      <c r="F11" s="5">
        <v>14.2</v>
      </c>
    </row>
    <row r="12" spans="1:6">
      <c r="A12" t="s">
        <v>37</v>
      </c>
      <c r="B12">
        <v>10</v>
      </c>
      <c r="C12" s="5">
        <v>100.03</v>
      </c>
      <c r="D12" s="5">
        <v>4.62</v>
      </c>
      <c r="E12" s="5">
        <v>0.506</v>
      </c>
      <c r="F12" s="5">
        <v>14.2</v>
      </c>
    </row>
    <row r="13" spans="1:6">
      <c r="A13" t="s">
        <v>39</v>
      </c>
      <c r="B13">
        <v>0</v>
      </c>
      <c r="C13" s="5">
        <v>0</v>
      </c>
      <c r="D13" s="5">
        <v>0</v>
      </c>
      <c r="E13" s="5">
        <v>0.51</v>
      </c>
      <c r="F13" s="5">
        <v>14.2</v>
      </c>
    </row>
    <row r="14" spans="1:6">
      <c r="A14" t="s">
        <v>39</v>
      </c>
      <c r="B14">
        <v>1</v>
      </c>
      <c r="C14" s="5">
        <v>10.18</v>
      </c>
      <c r="D14" s="5">
        <v>0.3</v>
      </c>
      <c r="E14" s="5">
        <v>0.51</v>
      </c>
      <c r="F14" s="5">
        <v>14.2</v>
      </c>
    </row>
    <row r="15" spans="1:6">
      <c r="A15" t="s">
        <v>39</v>
      </c>
      <c r="B15">
        <v>2</v>
      </c>
      <c r="C15" s="5">
        <v>19.99</v>
      </c>
      <c r="D15" s="5">
        <v>0.58</v>
      </c>
      <c r="E15" s="5">
        <v>0.51</v>
      </c>
      <c r="F15" s="5">
        <v>14.2</v>
      </c>
    </row>
    <row r="16" spans="1:6">
      <c r="A16" t="s">
        <v>39</v>
      </c>
      <c r="B16">
        <v>3</v>
      </c>
      <c r="C16" s="5">
        <v>30.03</v>
      </c>
      <c r="D16" s="5">
        <v>0.89</v>
      </c>
      <c r="E16" s="5">
        <v>0.51</v>
      </c>
      <c r="F16" s="5">
        <v>14.2</v>
      </c>
    </row>
    <row r="17" spans="1:6">
      <c r="A17" t="s">
        <v>39</v>
      </c>
      <c r="B17">
        <v>4</v>
      </c>
      <c r="C17" s="5">
        <v>39.94</v>
      </c>
      <c r="D17" s="5">
        <v>1.18</v>
      </c>
      <c r="E17" s="5">
        <v>0.51</v>
      </c>
      <c r="F17" s="5">
        <v>14.2</v>
      </c>
    </row>
    <row r="18" spans="1:6">
      <c r="A18" t="s">
        <v>39</v>
      </c>
      <c r="B18">
        <v>5</v>
      </c>
      <c r="C18" s="5">
        <v>49.97</v>
      </c>
      <c r="D18" s="5">
        <v>1.48</v>
      </c>
      <c r="E18" s="5">
        <v>0.51</v>
      </c>
      <c r="F18" s="5">
        <v>14.2</v>
      </c>
    </row>
    <row r="19" spans="1:6">
      <c r="A19" t="s">
        <v>39</v>
      </c>
      <c r="B19">
        <v>6</v>
      </c>
      <c r="C19" s="6">
        <v>59.88</v>
      </c>
      <c r="D19" s="5">
        <v>1.77</v>
      </c>
      <c r="E19" s="5">
        <v>0.51</v>
      </c>
      <c r="F19" s="5">
        <v>14.2</v>
      </c>
    </row>
    <row r="20" spans="1:6">
      <c r="A20" t="s">
        <v>39</v>
      </c>
      <c r="B20">
        <v>7</v>
      </c>
      <c r="C20" s="6">
        <v>70.06</v>
      </c>
      <c r="D20" s="5">
        <v>2.1</v>
      </c>
      <c r="E20" s="5">
        <v>0.51</v>
      </c>
      <c r="F20" s="5">
        <v>14.2</v>
      </c>
    </row>
    <row r="21" spans="1:6">
      <c r="A21" t="s">
        <v>39</v>
      </c>
      <c r="B21">
        <v>8</v>
      </c>
      <c r="C21" s="5">
        <v>79.95</v>
      </c>
      <c r="D21" s="5">
        <v>2.36</v>
      </c>
      <c r="E21" s="5">
        <v>0.51</v>
      </c>
      <c r="F21" s="5">
        <v>14.2</v>
      </c>
    </row>
    <row r="22" spans="1:6">
      <c r="A22" t="s">
        <v>39</v>
      </c>
      <c r="B22">
        <v>9</v>
      </c>
      <c r="C22" s="5">
        <v>90.03</v>
      </c>
      <c r="D22" s="5">
        <v>2.66</v>
      </c>
      <c r="E22" s="5">
        <v>0.51</v>
      </c>
      <c r="F22" s="5">
        <v>14.2</v>
      </c>
    </row>
    <row r="23" spans="1:6">
      <c r="A23" t="s">
        <v>39</v>
      </c>
      <c r="B23">
        <v>10</v>
      </c>
      <c r="C23" s="5">
        <v>99.93</v>
      </c>
      <c r="D23" s="5">
        <v>2.95</v>
      </c>
      <c r="E23" s="5">
        <v>0.51</v>
      </c>
      <c r="F23" s="5">
        <v>14.2</v>
      </c>
    </row>
    <row r="24" spans="1:6">
      <c r="A24" t="s">
        <v>41</v>
      </c>
      <c r="B24">
        <v>0</v>
      </c>
      <c r="C24" s="5">
        <v>0</v>
      </c>
      <c r="D24" s="5">
        <v>0</v>
      </c>
      <c r="E24" s="5">
        <v>0.452</v>
      </c>
      <c r="F24" s="5">
        <v>14.2</v>
      </c>
    </row>
    <row r="25" spans="1:6">
      <c r="A25" t="s">
        <v>41</v>
      </c>
      <c r="B25">
        <v>1</v>
      </c>
      <c r="C25" s="5">
        <v>10.01</v>
      </c>
      <c r="D25" s="5">
        <v>1.01</v>
      </c>
      <c r="E25" s="5">
        <v>0.452</v>
      </c>
      <c r="F25" s="5">
        <v>14.2</v>
      </c>
    </row>
    <row r="26" spans="1:6">
      <c r="A26" t="s">
        <v>41</v>
      </c>
      <c r="B26">
        <v>2</v>
      </c>
      <c r="C26" s="5">
        <v>20.04</v>
      </c>
      <c r="D26" s="5">
        <v>2.02</v>
      </c>
      <c r="E26" s="5">
        <v>0.452</v>
      </c>
      <c r="F26" s="5">
        <v>14.2</v>
      </c>
    </row>
    <row r="27" spans="1:6">
      <c r="A27" t="s">
        <v>41</v>
      </c>
      <c r="B27">
        <v>3</v>
      </c>
      <c r="C27" s="5">
        <v>29.99</v>
      </c>
      <c r="D27" s="5">
        <v>3.01</v>
      </c>
      <c r="E27" s="5">
        <v>0.452</v>
      </c>
      <c r="F27" s="5">
        <v>14.2</v>
      </c>
    </row>
    <row r="28" spans="1:6">
      <c r="A28" t="s">
        <v>41</v>
      </c>
      <c r="B28">
        <v>4</v>
      </c>
      <c r="C28" s="5">
        <v>40.04</v>
      </c>
      <c r="D28" s="5">
        <v>4.02</v>
      </c>
      <c r="E28" s="5">
        <v>0.452</v>
      </c>
      <c r="F28" s="5">
        <v>14.2</v>
      </c>
    </row>
    <row r="29" spans="1:6">
      <c r="A29" t="s">
        <v>41</v>
      </c>
      <c r="B29">
        <v>5</v>
      </c>
      <c r="C29" s="5">
        <v>49.99</v>
      </c>
      <c r="D29" s="5">
        <v>5.02</v>
      </c>
      <c r="E29" s="5">
        <v>0.452</v>
      </c>
      <c r="F29" s="5">
        <v>14.2</v>
      </c>
    </row>
    <row r="30" spans="1:6">
      <c r="A30" t="s">
        <v>41</v>
      </c>
      <c r="B30">
        <v>6</v>
      </c>
      <c r="C30" s="6">
        <v>60.08</v>
      </c>
      <c r="D30" s="5">
        <v>6.04</v>
      </c>
      <c r="E30" s="5">
        <v>0.452</v>
      </c>
      <c r="F30" s="5">
        <v>14.2</v>
      </c>
    </row>
    <row r="31" spans="1:6">
      <c r="A31" t="s">
        <v>41</v>
      </c>
      <c r="B31">
        <v>7</v>
      </c>
      <c r="C31" s="5">
        <v>70.01</v>
      </c>
      <c r="D31" s="5">
        <v>7.04</v>
      </c>
      <c r="E31" s="5">
        <v>0.452</v>
      </c>
      <c r="F31" s="5">
        <v>14.2</v>
      </c>
    </row>
    <row r="32" spans="1:6">
      <c r="A32" t="s">
        <v>41</v>
      </c>
      <c r="B32">
        <v>8</v>
      </c>
      <c r="C32" s="5">
        <v>80.01</v>
      </c>
      <c r="D32" s="5">
        <v>8.04</v>
      </c>
      <c r="E32" s="5">
        <v>0.452</v>
      </c>
      <c r="F32" s="5">
        <v>14.2</v>
      </c>
    </row>
    <row r="33" spans="1:6">
      <c r="A33" t="s">
        <v>41</v>
      </c>
      <c r="B33">
        <v>9</v>
      </c>
      <c r="C33" s="5">
        <v>90.02</v>
      </c>
      <c r="D33" s="5">
        <v>9.05</v>
      </c>
      <c r="E33" s="5">
        <v>0.452</v>
      </c>
      <c r="F33" s="5">
        <v>14.2</v>
      </c>
    </row>
    <row r="34" spans="1:6">
      <c r="A34" t="s">
        <v>41</v>
      </c>
      <c r="B34">
        <v>10</v>
      </c>
      <c r="C34" s="5">
        <v>99.98</v>
      </c>
      <c r="D34" s="5">
        <v>10.05</v>
      </c>
      <c r="E34" s="5">
        <v>0.452</v>
      </c>
      <c r="F34" s="5">
        <v>14.2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workbookViewId="0">
      <selection activeCell="A1" sqref="A1"/>
    </sheetView>
  </sheetViews>
  <sheetFormatPr defaultColWidth="9" defaultRowHeight="14"/>
  <cols>
    <col min="1" max="1" width="12" customWidth="1"/>
    <col min="2" max="2" width="16" customWidth="1"/>
    <col min="3" max="3" width="14" customWidth="1"/>
    <col min="4" max="4" width="12" customWidth="1"/>
    <col min="5" max="6" width="18" customWidth="1"/>
    <col min="7" max="7" width="30" customWidth="1"/>
    <col min="8" max="8" width="2" customWidth="1"/>
    <col min="9" max="17" width="16" customWidth="1"/>
  </cols>
  <sheetData>
    <row r="1" spans="1:17">
      <c r="A1" s="1" t="s">
        <v>74</v>
      </c>
      <c r="B1" s="1" t="s">
        <v>26</v>
      </c>
      <c r="C1" s="1" t="s">
        <v>79</v>
      </c>
      <c r="D1" s="1" t="s">
        <v>80</v>
      </c>
      <c r="E1" s="1" t="s">
        <v>81</v>
      </c>
      <c r="F1" s="1" t="s">
        <v>27</v>
      </c>
      <c r="G1" s="1" t="s">
        <v>82</v>
      </c>
      <c r="H1" s="1"/>
      <c r="I1" s="1"/>
      <c r="J1" s="1"/>
      <c r="K1" s="1"/>
      <c r="L1" s="1"/>
      <c r="M1" s="1"/>
      <c r="N1" s="1"/>
      <c r="O1" s="1"/>
      <c r="P1" s="1"/>
      <c r="Q1" s="1"/>
    </row>
    <row r="3" spans="1:7">
      <c r="A3" t="s">
        <v>37</v>
      </c>
      <c r="B3" s="2">
        <f>SLOPE(四端法原始数据!D2:D12,四端法原始数据!C2:C12)</f>
        <v>0.0463717542772598</v>
      </c>
      <c r="C3" s="2">
        <f>INTERCEPT(四端法原始数据!D2:D12,四端法原始数据!C2:C12)</f>
        <v>-0.0068300323615111</v>
      </c>
      <c r="D3" s="3">
        <f>RSQ(四端法原始数据!D2:D12,四端法原始数据!C2:C12)</f>
        <v>0.999642622639445</v>
      </c>
      <c r="E3" s="4">
        <f>PI()*(四端法原始数据!E2/1000)^2/4</f>
        <v>2.01090204163629e-7</v>
      </c>
      <c r="F3" s="4">
        <f>B3*E3/(四端法原始数据!F2/1000)</f>
        <v>6.56683488383085e-7</v>
      </c>
      <c r="G3" t="str">
        <f>"U = "&amp;TEXT(B3,"0.00000")&amp;" I "&amp;IF(C3&gt;=0,"+ ","- ")&amp;TEXT(ABS(C3),"0.00000")</f>
        <v>U = 0.04637 I - 0.00683</v>
      </c>
    </row>
    <row r="4" spans="1:7">
      <c r="A4" t="s">
        <v>39</v>
      </c>
      <c r="B4" s="2">
        <f>SLOPE(四端法原始数据!D13:D23,四端法原始数据!C13:C23)</f>
        <v>0.0296108672258505</v>
      </c>
      <c r="C4" s="2">
        <f>INTERCEPT(四端法原始数据!D13:D23,四端法原始数据!C13:C23)</f>
        <v>-0.00134477632079824</v>
      </c>
      <c r="D4" s="3">
        <f>RSQ(四端法原始数据!D13:D23,四端法原始数据!C13:C23)</f>
        <v>0.999900249897406</v>
      </c>
      <c r="E4" s="4">
        <f>PI()*(四端法原始数据!E13/1000)^2/4</f>
        <v>2.04282062299676e-7</v>
      </c>
      <c r="F4" s="4">
        <f>B4*E4/(四端法原始数据!F13/1000)</f>
        <v>4.2598373404075e-7</v>
      </c>
      <c r="G4" t="str">
        <f>"U = "&amp;TEXT(B4,"0.00000")&amp;" I "&amp;IF(C4&gt;=0,"+ ","- ")&amp;TEXT(ABS(C4),"0.00000")</f>
        <v>U = 0.02961 I - 0.00134</v>
      </c>
    </row>
    <row r="5" spans="1:7">
      <c r="A5" t="s">
        <v>41</v>
      </c>
      <c r="B5" s="2">
        <f>SLOPE(四端法原始数据!D24:D34,四端法原始数据!C24:C34)</f>
        <v>0.100506421924076</v>
      </c>
      <c r="C5" s="2">
        <f>INTERCEPT(四端法原始数据!D24:D34,四端法原始数据!C24:C34)</f>
        <v>0.00039835000281259</v>
      </c>
      <c r="D5" s="3">
        <f>RSQ(四端法原始数据!D24:D34,四端法原始数据!C24:C34)</f>
        <v>0.9999988529211</v>
      </c>
      <c r="E5" s="4">
        <f>PI()*(四端法原始数据!E24/1000)^2/4</f>
        <v>1.60459986374752e-7</v>
      </c>
      <c r="F5" s="4">
        <f>B5*E5/(四端法原始数据!F24/1000)</f>
        <v>1.13572247130369e-6</v>
      </c>
      <c r="G5" t="str">
        <f>"U = "&amp;TEXT(B5,"0.00000")&amp;" I "&amp;IF(C5&gt;=0,"+ ","- ")&amp;TEXT(ABS(C5),"0.00000")</f>
        <v>U = 0.10051 I + 0.00040</v>
      </c>
    </row>
    <row r="8" spans="1:7">
      <c r="A8" t="s">
        <v>50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</row>
    <row r="9" spans="1:7">
      <c r="A9" s="5">
        <f>四端法原始数据!C2</f>
        <v>0</v>
      </c>
      <c r="B9" s="5">
        <f>四端法原始数据!D2</f>
        <v>0</v>
      </c>
      <c r="C9" s="5">
        <f>$B$3*A9+$C$3</f>
        <v>-0.0068300323615111</v>
      </c>
      <c r="D9" s="5">
        <f>四端法原始数据!D13</f>
        <v>0</v>
      </c>
      <c r="E9" s="5">
        <f>$B$4*A9+$C$4</f>
        <v>-0.00134477632079824</v>
      </c>
      <c r="F9" s="5">
        <f>四端法原始数据!D24</f>
        <v>0</v>
      </c>
      <c r="G9" s="5">
        <f>$B$5*A9+$C$5</f>
        <v>0.00039835000281259</v>
      </c>
    </row>
    <row r="10" spans="1:7">
      <c r="A10" s="5">
        <f>四端法原始数据!C3</f>
        <v>10.03</v>
      </c>
      <c r="B10" s="5">
        <f>四端法原始数据!D3</f>
        <v>0.46</v>
      </c>
      <c r="C10" s="5">
        <f>$B$3*A10+$C$3</f>
        <v>0.458278663039404</v>
      </c>
      <c r="D10" s="5">
        <f>四端法原始数据!D14</f>
        <v>0.3</v>
      </c>
      <c r="E10" s="5">
        <f>$B$4*A10+$C$4</f>
        <v>0.295652221954483</v>
      </c>
      <c r="F10" s="5">
        <f>四端法原始数据!D25</f>
        <v>1.01</v>
      </c>
      <c r="G10" s="5">
        <f>$B$5*A10+$C$5</f>
        <v>1.0084777619013</v>
      </c>
    </row>
    <row r="11" spans="1:7">
      <c r="A11" s="5">
        <f>四端法原始数据!C4</f>
        <v>20.09</v>
      </c>
      <c r="B11" s="5">
        <f>四端法原始数据!D4</f>
        <v>0.92</v>
      </c>
      <c r="C11" s="5">
        <f>$B$3*A11+$C$3</f>
        <v>0.924778511068637</v>
      </c>
      <c r="D11" s="5">
        <f>四端法原始数据!D15</f>
        <v>0.58</v>
      </c>
      <c r="E11" s="5">
        <f>$B$4*A11+$C$4</f>
        <v>0.593537546246539</v>
      </c>
      <c r="F11" s="5">
        <f>四端法原始数据!D26</f>
        <v>2.02</v>
      </c>
      <c r="G11" s="5">
        <f>$B$5*A11+$C$5</f>
        <v>2.01957236645751</v>
      </c>
    </row>
    <row r="12" spans="1:7">
      <c r="A12" s="5">
        <f>四端法原始数据!C5</f>
        <v>29.99</v>
      </c>
      <c r="B12" s="5">
        <f>四端法原始数据!D5</f>
        <v>1.38</v>
      </c>
      <c r="C12" s="5">
        <f>$B$3*A12+$C$3</f>
        <v>1.38385887841351</v>
      </c>
      <c r="D12" s="5">
        <f>四端法原始数据!D16</f>
        <v>0.89</v>
      </c>
      <c r="E12" s="5">
        <f>$B$4*A12+$C$4</f>
        <v>0.88668513178246</v>
      </c>
      <c r="F12" s="5">
        <f>四端法原始数据!D27</f>
        <v>3.01</v>
      </c>
      <c r="G12" s="5">
        <f>$B$5*A12+$C$5</f>
        <v>3.01458594350586</v>
      </c>
    </row>
    <row r="13" spans="1:7">
      <c r="A13" s="5">
        <f>四端法原始数据!C6</f>
        <v>39.98</v>
      </c>
      <c r="B13" s="5">
        <f>四端法原始数据!D6</f>
        <v>1.85</v>
      </c>
      <c r="C13" s="5">
        <f>$B$3*A13+$C$3</f>
        <v>1.84711270364333</v>
      </c>
      <c r="D13" s="5">
        <f>四端法原始数据!D17</f>
        <v>1.18</v>
      </c>
      <c r="E13" s="5">
        <f>$B$4*A13+$C$4</f>
        <v>1.18249769536871</v>
      </c>
      <c r="F13" s="5">
        <f>四端法原始数据!D28</f>
        <v>4.02</v>
      </c>
      <c r="G13" s="5">
        <f>$B$5*A13+$C$5</f>
        <v>4.01864509852738</v>
      </c>
    </row>
    <row r="14" spans="1:7">
      <c r="A14" s="5">
        <f>四端法原始数据!C7</f>
        <v>50.09</v>
      </c>
      <c r="B14" s="5">
        <f>四端法原始数据!D7</f>
        <v>2.28</v>
      </c>
      <c r="C14" s="5">
        <f>$B$3*A14+$C$3</f>
        <v>2.31593113938643</v>
      </c>
      <c r="D14" s="5">
        <f>四端法原始数据!D18</f>
        <v>1.48</v>
      </c>
      <c r="E14" s="5">
        <f>$B$4*A14+$C$4</f>
        <v>1.48186356302206</v>
      </c>
      <c r="F14" s="5">
        <f>四端法原始数据!D29</f>
        <v>5.02</v>
      </c>
      <c r="G14" s="5">
        <f>$B$5*A14+$C$5</f>
        <v>5.0347650241798</v>
      </c>
    </row>
    <row r="15" spans="1:7">
      <c r="A15" s="5">
        <f>四端法原始数据!C8</f>
        <v>60.02</v>
      </c>
      <c r="B15" s="5">
        <f>四端法原始数据!D8</f>
        <v>2.76</v>
      </c>
      <c r="C15" s="5">
        <f>$B$3*A15+$C$3</f>
        <v>2.77640265935962</v>
      </c>
      <c r="D15" s="5">
        <f>四端法原始数据!D19</f>
        <v>1.77</v>
      </c>
      <c r="E15" s="5">
        <f>$B$4*A15+$C$4</f>
        <v>1.77589947457475</v>
      </c>
      <c r="F15" s="5">
        <f>四端法原始数据!D30</f>
        <v>6.04</v>
      </c>
      <c r="G15" s="5">
        <f>$B$5*A15+$C$5</f>
        <v>6.03279379388587</v>
      </c>
    </row>
    <row r="16" spans="1:7">
      <c r="A16" s="5">
        <f>四端法原始数据!C9</f>
        <v>70.01</v>
      </c>
      <c r="B16" s="5">
        <f>四端法原始数据!D9</f>
        <v>3.32</v>
      </c>
      <c r="C16" s="5">
        <f>$B$3*A16+$C$3</f>
        <v>3.23965648458944</v>
      </c>
      <c r="D16" s="5">
        <f>四端法原始数据!D20</f>
        <v>2.1</v>
      </c>
      <c r="E16" s="5">
        <f>$B$4*A16+$C$4</f>
        <v>2.071712038161</v>
      </c>
      <c r="F16" s="5">
        <f>四端法原始数据!D31</f>
        <v>7.04</v>
      </c>
      <c r="G16" s="5">
        <f>$B$5*A16+$C$5</f>
        <v>7.0368529489074</v>
      </c>
    </row>
    <row r="17" spans="1:7">
      <c r="A17" s="5">
        <f>四端法原始数据!C10</f>
        <v>80</v>
      </c>
      <c r="B17" s="5">
        <f>四端法原始数据!D10</f>
        <v>3.69</v>
      </c>
      <c r="C17" s="5">
        <f>$B$3*A17+$C$3</f>
        <v>3.70291030981927</v>
      </c>
      <c r="D17" s="5">
        <f>四端法原始数据!D21</f>
        <v>2.36</v>
      </c>
      <c r="E17" s="5">
        <f>$B$4*A17+$C$4</f>
        <v>2.36752460174725</v>
      </c>
      <c r="F17" s="5">
        <f>四端法原始数据!D32</f>
        <v>8.04</v>
      </c>
      <c r="G17" s="5">
        <f>$B$5*A17+$C$5</f>
        <v>8.04091210392892</v>
      </c>
    </row>
    <row r="18" spans="1:7">
      <c r="A18" s="5">
        <f>四端法原始数据!C11</f>
        <v>89.99</v>
      </c>
      <c r="B18" s="5">
        <f>四端法原始数据!D11</f>
        <v>4.16</v>
      </c>
      <c r="C18" s="5">
        <f>$B$3*A18+$C$3</f>
        <v>4.16616413504909</v>
      </c>
      <c r="D18" s="5">
        <f>四端法原始数据!D22</f>
        <v>2.66</v>
      </c>
      <c r="E18" s="5">
        <f>$B$4*A18+$C$4</f>
        <v>2.66333716533349</v>
      </c>
      <c r="F18" s="5">
        <f>四端法原始数据!D33</f>
        <v>9.05</v>
      </c>
      <c r="G18" s="5">
        <f>$B$5*A18+$C$5</f>
        <v>9.04497125895044</v>
      </c>
    </row>
    <row r="19" spans="1:7">
      <c r="A19" s="5">
        <f>四端法原始数据!C12</f>
        <v>100.03</v>
      </c>
      <c r="B19" s="5">
        <f>四端法原始数据!D12</f>
        <v>4.62</v>
      </c>
      <c r="C19" s="5">
        <f>$B$3*A19+$C$3</f>
        <v>4.63173654799278</v>
      </c>
      <c r="D19" s="5">
        <f>四端法原始数据!D23</f>
        <v>2.95</v>
      </c>
      <c r="E19" s="5">
        <f>$B$4*A19+$C$4</f>
        <v>2.96063027228103</v>
      </c>
      <c r="F19" s="5">
        <f>四端法原始数据!D34</f>
        <v>10.05</v>
      </c>
      <c r="G19" s="5">
        <f>$B$5*A19+$C$5</f>
        <v>10.0540557350682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结果汇总</vt:lpstr>
      <vt:lpstr>惠斯通电桥</vt:lpstr>
      <vt:lpstr>四端法原始数据</vt:lpstr>
      <vt:lpstr>四端法拟合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陈卓远</cp:lastModifiedBy>
  <dcterms:created xsi:type="dcterms:W3CDTF">2026-05-28T12:45:32Z</dcterms:created>
  <dcterms:modified xsi:type="dcterms:W3CDTF">2026-05-28T13:00:38Z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147B53DF933747479C6402B101E50220_12</vt:lpwstr>
  </property>
  <property fmtid="{D5CDD505-2E9C-101B-9397-08002B2CF9AE}" pid="3" name="KSOProductBuildVer">
    <vt:lpwstr>2052-12.1.0.16910</vt:lpwstr>
  </property>
</Properties>
</file>