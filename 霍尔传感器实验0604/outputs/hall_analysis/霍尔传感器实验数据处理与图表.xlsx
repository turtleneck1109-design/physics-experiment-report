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5ebf9a3d2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d9e511bc4b5c4b8f"/>
    <x:sheet xmlns:r="http://schemas.openxmlformats.org/officeDocument/2006/relationships" name="数据处理" sheetId="2" r:id="Rdabc40971e2d41e9"/>
    <x:sheet xmlns:r="http://schemas.openxmlformats.org/officeDocument/2006/relationships" name="图表" sheetId="3" r:id="Recea0e07b853471e"/>
  </x:sheets>
</x:workbook>
</file>

<file path=xl/sharedStrings.xml><?xml version="1.0" encoding="utf-8"?>
<x:sst xmlns:x="http://schemas.openxmlformats.org/spreadsheetml/2006/main">
  <x:si>
    <x:t xml:space="preserve">数据记录表（自拟）</x:t>
  </x:si>
  <x:si>
    <x:t xml:space="preserve">△x=2.3 cm</x:t>
  </x:si>
  <x:si>
    <x:r>
      <x:rPr>
        <x:b/>
        <x:sz val="11"/>
        <x:color rgb="FF111827"/>
        <x:rFont val="宋体"/>
      </x:rPr>
      <x:t xml:space="preserve">表</x:t>
    </x:r>
    <x:r>
      <x:rPr>
        <x:b/>
        <x:sz val="11"/>
        <x:color rgb="FF111827"/>
        <x:rFont val="Carlito"/>
      </x:rPr>
      <x:t xml:space="preserve">1  </x:t>
    </x:r>
    <x:r>
      <x:rPr>
        <x:b/>
        <x:sz val="11"/>
        <x:color rgb="FF111827"/>
        <x:rFont val="宋体"/>
      </x:rPr>
      <x:t xml:space="preserve">改变励磁电压</x:t>
    </x:r>
    <x:r>
      <x:rPr>
        <x:b/>
        <x:sz val="11"/>
        <x:color rgb="FF111827"/>
        <x:rFont val="Carlito"/>
      </x:rPr>
      <x:t xml:space="preserve"> Us</x:t>
    </x:r>
    <x:r>
      <x:rPr>
        <x:b/>
        <x:sz val="11"/>
        <x:color rgb="FF111827"/>
        <x:rFont val="宋体"/>
      </x:rPr>
      <x:t xml:space="preserve">，记录</x:t>
    </x:r>
    <x:r>
      <x:rPr>
        <x:b/>
        <x:sz val="11"/>
        <x:color rgb="FF111827"/>
        <x:rFont val="Carlito"/>
      </x:rPr>
      <x:t xml:space="preserve"> Uo </x:t>
    </x:r>
    <x:r>
      <x:rPr>
        <x:b/>
        <x:sz val="11"/>
        <x:color rgb="FF111827"/>
        <x:rFont val="宋体"/>
      </x:rPr>
      <x:t xml:space="preserve">与</x:t>
    </x:r>
    <x:r>
      <x:rPr>
        <x:b/>
        <x:sz val="11"/>
        <x:color rgb="FF111827"/>
        <x:rFont val="Carlito"/>
      </x:rPr>
      <x:t xml:space="preserve"> U </x:t>
    </x:r>
  </x:si>
  <x:si>
    <x:t xml:space="preserve">表1  改变励磁电压 Us，记录 Uo 与 U</x:t>
  </x:si>
  <x:si>
    <x:t xml:space="preserve">序号</x:t>
  </x:si>
  <x:si>
    <x:t xml:space="preserve">备注</x:t>
  </x:si>
  <x:si>
    <x:t xml:space="preserve">Us/V</x:t>
  </x:si>
  <x:si>
    <x:t xml:space="preserve">Uo/V</x:t>
  </x:si>
  <x:si>
    <x:t xml:space="preserve">2.420</x:t>
  </x:si>
  <x:si>
    <x:t xml:space="preserve">1.4877</x:t>
  </x:si>
  <x:si>
    <x:t xml:space="preserve">1.7147</x:t>
  </x:si>
  <x:si>
    <x:t xml:space="preserve">1.9614</x:t>
  </x:si>
  <x:si>
    <x:t xml:space="preserve">2.208</x:t>
  </x:si>
  <x:si>
    <x:t xml:space="preserve">2.458</x:t>
  </x:si>
  <x:si>
    <x:t xml:space="preserve">2.707</x:t>
  </x:si>
  <x:si>
    <x:t xml:space="preserve">2.952</x:t>
  </x:si>
  <x:si>
    <x:t xml:space="preserve">3.197</x:t>
  </x:si>
  <x:si>
    <x:t xml:space="preserve">3.446</x:t>
  </x:si>
  <x:si>
    <x:t xml:space="preserve">3.691</x:t>
  </x:si>
  <x:si>
    <x:t xml:space="preserve">3.941</x:t>
  </x:si>
  <x:si>
    <x:t xml:space="preserve">4.192</x:t>
  </x:si>
  <x:si>
    <x:t xml:space="preserve">4.435</x:t>
  </x:si>
  <x:si>
    <x:t xml:space="preserve">4.683</x:t>
  </x:si>
  <x:si>
    <x:t xml:space="preserve">I=0A</x:t>
  </x:si>
  <x:si>
    <x:t xml:space="preserve">U/V</x:t>
  </x:si>
  <x:si>
    <x:t xml:space="preserve">2.426</x:t>
  </x:si>
  <x:si>
    <x:t xml:space="preserve">1.5398</x:t>
  </x:si>
  <x:si>
    <x:t xml:space="preserve">1.7980</x:t>
  </x:si>
  <x:si>
    <x:t xml:space="preserve">2.0575</x:t>
  </x:si>
  <x:si>
    <x:t xml:space="preserve">2.318</x:t>
  </x:si>
  <x:si>
    <x:t xml:space="preserve">2.577</x:t>
  </x:si>
  <x:si>
    <x:t xml:space="preserve">2.839</x:t>
  </x:si>
  <x:si>
    <x:t xml:space="preserve">3.099</x:t>
  </x:si>
  <x:si>
    <x:t xml:space="preserve">3.356</x:t>
  </x:si>
  <x:si>
    <x:t xml:space="preserve">3.613</x:t>
  </x:si>
  <x:si>
    <x:t xml:space="preserve">3.874</x:t>
  </x:si>
  <x:si>
    <x:t xml:space="preserve">4.126</x:t>
  </x:si>
  <x:si>
    <x:t xml:space="preserve">4.384</x:t>
  </x:si>
  <x:si>
    <x:t xml:space="preserve">4.644</x:t>
  </x:si>
  <x:si>
    <x:t xml:space="preserve">4.898</x:t>
  </x:si>
  <x:si>
    <x:t xml:space="preserve">I=0.25A</x:t>
  </x:si>
  <x:si>
    <x:t xml:space="preserve">K</x:t>
  </x:si>
  <x:si>
    <x:r>
      <x:rPr>
        <x:b/>
        <x:sz val="11"/>
        <x:color rgb="FF111827"/>
        <x:rFont val="宋体"/>
      </x:rPr>
      <x:t xml:space="preserve">表</x:t>
    </x:r>
    <x:r>
      <x:rPr>
        <x:b/>
        <x:sz val="11"/>
        <x:color rgb="FF111827"/>
        <x:rFont val="Carlito"/>
      </x:rPr>
      <x:t xml:space="preserve">2  </x:t>
    </x:r>
    <x:r>
      <x:rPr>
        <x:b/>
        <x:sz val="11"/>
        <x:color rgb="FF111827"/>
        <x:rFont val="宋体"/>
      </x:rPr>
      <x:t xml:space="preserve">输出电压</x:t>
    </x:r>
    <x:r>
      <x:rPr>
        <x:b/>
        <x:sz val="11"/>
        <x:color rgb="FF111827"/>
        <x:rFont val="Carlito"/>
      </x:rPr>
      <x:t xml:space="preserve"> U </x:t>
    </x:r>
    <x:r>
      <x:rPr>
        <x:b/>
        <x:sz val="11"/>
        <x:color rgb="FF111827"/>
        <x:rFont val="宋体"/>
      </x:rPr>
      <x:t xml:space="preserve">与励磁电流</x:t>
    </x:r>
    <x:r>
      <x:rPr>
        <x:b/>
        <x:sz val="11"/>
        <x:color rgb="FF111827"/>
        <x:rFont val="Carlito"/>
      </x:rPr>
      <x:t xml:space="preserve"> Im </x:t>
    </x:r>
    <x:r>
      <x:rPr>
        <x:b/>
        <x:sz val="11"/>
        <x:color rgb="FF111827"/>
        <x:rFont val="宋体"/>
      </x:rPr>
      <x:t xml:space="preserve">的关系（固定</x:t>
    </x:r>
    <x:r>
      <x:rPr>
        <x:b/>
        <x:sz val="11"/>
        <x:color rgb="FF111827"/>
        <x:rFont val="Carlito"/>
      </x:rPr>
      <x:t xml:space="preserve"> Us=5.00 V</x:t>
    </x:r>
    <x:r>
      <x:rPr>
        <x:b/>
        <x:sz val="11"/>
        <x:color rgb="FF111827"/>
        <x:rFont val="宋体"/>
      </x:rPr>
      <x:t xml:space="preserve">）</x:t>
    </x:r>
  </x:si>
  <x:si>
    <x:t xml:space="preserve">表2  输出电压 U 与励磁电流 Im 的关系（固定 Us=5.00 V）</x:t>
  </x:si>
  <x:si>
    <x:t xml:space="preserve">Im/A</x:t>
  </x:si>
  <x:si>
    <x:t xml:space="preserve">U-Uo/mV</x:t>
  </x:si>
  <x:si>
    <x:t xml:space="preserve">-0.01</x:t>
  </x:si>
  <x:si>
    <x:t xml:space="preserve">26.98</x:t>
  </x:si>
  <x:si>
    <x:t xml:space="preserve">48.10</x:t>
  </x:si>
  <x:si>
    <x:t xml:space="preserve">68.78</x:t>
  </x:si>
  <x:si>
    <x:t xml:space="preserve">92.02</x:t>
  </x:si>
  <x:si>
    <x:t xml:space="preserve">112.10</x:t>
  </x:si>
  <x:si>
    <x:t xml:space="preserve">133.16</x:t>
  </x:si>
  <x:si>
    <x:t xml:space="preserve">154.51</x:t>
  </x:si>
  <x:si>
    <x:t xml:space="preserve">177.00</x:t>
  </x:si>
  <x:si>
    <x:t xml:space="preserve">198.12</x:t>
  </x:si>
  <x:si>
    <x:t xml:space="preserve">B</x:t>
  </x:si>
  <x:si>
    <x:r>
      <x:rPr>
        <x:b/>
        <x:sz val="11"/>
        <x:color rgb="FF111827"/>
        <x:rFont val="宋体"/>
      </x:rPr>
      <x:t xml:space="preserve">表</x:t>
    </x:r>
    <x:r>
      <x:rPr>
        <x:b/>
        <x:sz val="11"/>
        <x:color rgb="FF111827"/>
        <x:rFont val="Carlito"/>
      </x:rPr>
      <x:t xml:space="preserve">3  </x:t>
    </x:r>
    <x:r>
      <x:rPr>
        <x:b/>
        <x:sz val="11"/>
        <x:color rgb="FF111827"/>
        <x:rFont val="宋体"/>
      </x:rPr>
      <x:t xml:space="preserve">在</x:t>
    </x:r>
    <x:r>
      <x:rPr>
        <x:b/>
        <x:sz val="11"/>
        <x:color rgb="FF111827"/>
        <x:rFont val="Carlito"/>
      </x:rPr>
      <x:t xml:space="preserve"> Im=250 mA </x:t>
    </x:r>
    <x:r>
      <x:rPr>
        <x:b/>
        <x:sz val="11"/>
        <x:color rgb="FF111827"/>
        <x:rFont val="宋体"/>
      </x:rPr>
      <x:t xml:space="preserve">条件下，磁场</x:t>
    </x:r>
    <x:r>
      <x:rPr>
        <x:b/>
        <x:sz val="11"/>
        <x:color rgb="FF111827"/>
        <x:rFont val="Carlito"/>
      </x:rPr>
      <x:t xml:space="preserve">/</x:t>
    </x:r>
    <x:r>
      <x:rPr>
        <x:b/>
        <x:sz val="11"/>
        <x:color rgb="FF111827"/>
        <x:rFont val="宋体"/>
      </x:rPr>
      <x:t xml:space="preserve">电压随位置</x:t>
    </x:r>
    <x:r>
      <x:rPr>
        <x:b/>
        <x:sz val="11"/>
        <x:color rgb="FF111827"/>
        <x:rFont val="Carlito"/>
      </x:rPr>
      <x:t xml:space="preserve"> X </x:t>
    </x:r>
    <x:r>
      <x:rPr>
        <x:b/>
        <x:sz val="11"/>
        <x:color rgb="FF111827"/>
        <x:rFont val="宋体"/>
      </x:rPr>
      <x:t xml:space="preserve">的变化（第一段）（固定 Us=5.00 V）</x:t>
    </x:r>
  </x:si>
  <x:si>
    <x:t xml:space="preserve">表3  在 Im=50 mA 条件下，磁场/电压随位置 X 的变化（第一段）</x:t>
  </x:si>
  <x:si>
    <x:t xml:space="preserve">X/cm</x:t>
  </x:si>
  <x:si>
    <x:t xml:space="preserve">11.87</x:t>
  </x:si>
  <x:si>
    <x:t xml:space="preserve">16.35</x:t>
  </x:si>
  <x:si>
    <x:t xml:space="preserve">23.35</x:t>
  </x:si>
  <x:si>
    <x:t xml:space="preserve">34.27</x:t>
  </x:si>
  <x:si>
    <x:t xml:space="preserve">48.42</x:t>
  </x:si>
  <x:si>
    <x:t xml:space="preserve">65.43</x:t>
  </x:si>
  <x:si>
    <x:t xml:space="preserve">77.80</x:t>
  </x:si>
  <x:si>
    <x:t xml:space="preserve">88.08</x:t>
  </x:si>
  <x:si>
    <x:t xml:space="preserve">94.74</x:t>
  </x:si>
  <x:si>
    <x:t xml:space="preserve">99.65</x:t>
  </x:si>
  <x:si>
    <x:t xml:space="preserve">102.81</x:t>
  </x:si>
  <x:si>
    <x:t xml:space="preserve">104.97</x:t>
  </x:si>
  <x:si>
    <x:t xml:space="preserve">106.34</x:t>
  </x:si>
  <x:si>
    <x:t xml:space="preserve">108.48</x:t>
  </x:si>
  <x:si>
    <x:t xml:space="preserve">109.68</x:t>
  </x:si>
  <x:si>
    <x:t xml:space="preserve">110.37</x:t>
  </x:si>
  <x:si>
    <x:t xml:space="preserve">110.67</x:t>
  </x:si>
  <x:si>
    <x:r>
      <x:t xml:space="preserve">表</x:t>
    </x:r>
    <x:r>
      <x:rPr>
        <x:b/>
        <x:sz val="11"/>
        <x:color rgb="FF111827"/>
        <x:rFont val="Carlito"/>
      </x:rPr>
      <x:t xml:space="preserve">3  </x:t>
    </x:r>
    <x:r>
      <x:rPr>
        <x:b/>
        <x:sz val="11"/>
        <x:color rgb="FF111827"/>
        <x:rFont val="宋体"/>
      </x:rPr>
      <x:t xml:space="preserve">在</x:t>
    </x:r>
    <x:r>
      <x:rPr>
        <x:b/>
        <x:sz val="11"/>
        <x:color rgb="FF111827"/>
        <x:rFont val="Carlito"/>
      </x:rPr>
      <x:t xml:space="preserve"> Im=250 mA </x:t>
    </x:r>
    <x:r>
      <x:rPr>
        <x:b/>
        <x:sz val="11"/>
        <x:color rgb="FF111827"/>
        <x:rFont val="宋体"/>
      </x:rPr>
      <x:t xml:space="preserve">条件下，磁场</x:t>
    </x:r>
    <x:r>
      <x:rPr>
        <x:b/>
        <x:sz val="11"/>
        <x:color rgb="FF111827"/>
        <x:rFont val="Carlito"/>
      </x:rPr>
      <x:t xml:space="preserve">/</x:t>
    </x:r>
    <x:r>
      <x:rPr>
        <x:b/>
        <x:sz val="11"/>
        <x:color rgb="FF111827"/>
        <x:rFont val="宋体"/>
      </x:rPr>
      <x:t xml:space="preserve">电压随位置</x:t>
    </x:r>
    <x:r>
      <x:rPr>
        <x:b/>
        <x:sz val="11"/>
        <x:color rgb="FF111827"/>
        <x:rFont val="Carlito"/>
      </x:rPr>
      <x:t xml:space="preserve"> X </x:t>
    </x:r>
    <x:r>
      <x:rPr>
        <x:b/>
        <x:sz val="11"/>
        <x:color rgb="FF111827"/>
        <x:rFont val="宋体"/>
      </x:rPr>
      <x:t xml:space="preserve">的变化（第二段）（固定 Us=5.00 V）</x:t>
    </x:r>
  </x:si>
  <x:si>
    <x:t xml:space="preserve">110.91</x:t>
  </x:si>
  <x:si>
    <x:t xml:space="preserve">111.15</x:t>
  </x:si>
  <x:si>
    <x:t xml:space="preserve">111.35</x:t>
  </x:si>
  <x:si>
    <x:t xml:space="preserve">111.55</x:t>
  </x:si>
  <x:si>
    <x:t xml:space="preserve">111.68</x:t>
  </x:si>
  <x:si>
    <x:t xml:space="preserve">111.60</x:t>
  </x:si>
  <x:si>
    <x:t xml:space="preserve">111.48</x:t>
  </x:si>
  <x:si>
    <x:t xml:space="preserve">111.25</x:t>
  </x:si>
  <x:si>
    <x:t xml:space="preserve">111.02</x:t>
  </x:si>
  <x:si>
    <x:t xml:space="preserve">110.72</x:t>
  </x:si>
  <x:si>
    <x:t xml:space="preserve">110.49</x:t>
  </x:si>
  <x:si>
    <x:t xml:space="preserve">109.94</x:t>
  </x:si>
  <x:si>
    <x:t xml:space="preserve">109.08</x:t>
  </x:si>
  <x:si>
    <x:t xml:space="preserve">107.69</x:t>
  </x:si>
  <x:si>
    <x:t xml:space="preserve">106.52</x:t>
  </x:si>
  <x:si>
    <x:t xml:space="preserve">104.81</x:t>
  </x:si>
  <x:si>
    <x:t xml:space="preserve">102.30</x:t>
  </x:si>
  <x:si>
    <x:r>
      <x:t xml:space="preserve">表</x:t>
    </x:r>
    <x:r>
      <x:rPr>
        <x:b/>
        <x:sz val="11"/>
        <x:color rgb="FF111827"/>
        <x:rFont val="Carlito"/>
      </x:rPr>
      <x:t xml:space="preserve">3  </x:t>
    </x:r>
    <x:r>
      <x:rPr>
        <x:b/>
        <x:sz val="11"/>
        <x:color rgb="FF111827"/>
        <x:rFont val="宋体"/>
      </x:rPr>
      <x:t xml:space="preserve">在</x:t>
    </x:r>
    <x:r>
      <x:rPr>
        <x:b/>
        <x:sz val="11"/>
        <x:color rgb="FF111827"/>
        <x:rFont val="Carlito"/>
      </x:rPr>
      <x:t xml:space="preserve"> Im=250 mA </x:t>
    </x:r>
    <x:r>
      <x:rPr>
        <x:b/>
        <x:sz val="11"/>
        <x:color rgb="FF111827"/>
        <x:rFont val="宋体"/>
      </x:rPr>
      <x:t xml:space="preserve">条件下，磁场</x:t>
    </x:r>
    <x:r>
      <x:rPr>
        <x:b/>
        <x:sz val="11"/>
        <x:color rgb="FF111827"/>
        <x:rFont val="Carlito"/>
      </x:rPr>
      <x:t xml:space="preserve">/</x:t>
    </x:r>
    <x:r>
      <x:rPr>
        <x:b/>
        <x:sz val="11"/>
        <x:color rgb="FF111827"/>
        <x:rFont val="宋体"/>
      </x:rPr>
      <x:t xml:space="preserve">电压随位置</x:t>
    </x:r>
    <x:r>
      <x:rPr>
        <x:b/>
        <x:sz val="11"/>
        <x:color rgb="FF111827"/>
        <x:rFont val="Carlito"/>
      </x:rPr>
      <x:t xml:space="preserve"> X </x:t>
    </x:r>
    <x:r>
      <x:rPr>
        <x:b/>
        <x:sz val="11"/>
        <x:color rgb="FF111827"/>
        <x:rFont val="宋体"/>
      </x:rPr>
      <x:t xml:space="preserve">的变化（第三段）（固定 Us=5.00 V）</x:t>
    </x:r>
  </x:si>
  <x:si>
    <x:t xml:space="preserve">99.01</x:t>
  </x:si>
  <x:si>
    <x:t xml:space="preserve">93.65</x:t>
  </x:si>
  <x:si>
    <x:t xml:space="preserve">85.31</x:t>
  </x:si>
  <x:si>
    <x:t xml:space="preserve">73.01</x:t>
  </x:si>
  <x:si>
    <x:t xml:space="preserve">58.20</x:t>
  </x:si>
  <x:si>
    <x:t xml:space="preserve">42.70</x:t>
  </x:si>
  <x:si>
    <x:t xml:space="preserve">31.15</x:t>
  </x:si>
  <x:si>
    <x:t xml:space="preserve">21.26</x:t>
  </x:si>
  <x:si>
    <x:t xml:space="preserve">14.69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</x:si>
</x:sst>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  <x:numFmt numFmtId="177" formatCode="0.0000"/>
    <x:numFmt numFmtId="200" formatCode="0.00%"/>
  </x:numFmts>
  <x:fonts count="26">
    <x:font>
      <x:sz val="11"/>
      <x:name val="Carlito"/>
    </x:font>
    <x:font>
      <x:b/>
      <x:sz val="16"/>
      <x:name val="宋体"/>
    </x:font>
    <x:font>
      <x:sz val="11"/>
      <x:name val="宋体"/>
    </x:font>
    <x:font>
      <x:b/>
      <x:sz val="11"/>
      <x:color rgb="FF111827"/>
      <x:name val="宋体"/>
    </x:font>
    <x:font>
      <x:b/>
      <x:sz val="11"/>
      <x:color rgb="FF111827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FCE5CD"/>
      </x:patternFill>
    </x:fill>
    <x:fill>
      <x:patternFill patternType="solid">
        <x:fgColor rgb="FFF3F6F4"/>
      </x:patternFill>
    </x:fill>
    <x:fill>
      <x:patternFill patternType="solid">
        <x:fgColor rgb="FFD9EAD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7" borderId="5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5" fillId="13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5" fillId="17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5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5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5" fillId="33" borderId="0" applyNumberFormat="0" applyBorder="0" applyAlignment="0" applyProtection="0">
      <x:alignment vertical="center"/>
    </x:xf>
    <x:xf numFmtId="0" fontId="5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28">
    <x:xf numFmtId="0" fontId="0" fillId="0" borderId="0" xfId="49"/>
    <x:xf numFmtId="0" fontId="1" fillId="0" borderId="0" xfId="49" applyNumberFormat="1" applyFont="1" applyFill="1" applyBorder="1" applyAlignment="1">
      <x:alignment horizontal="center" vertical="center"/>
    </x:xf>
    <x:xf numFmtId="0" fontId="2" fillId="0" borderId="0" xfId="49" applyFont="1"/>
    <x:xf numFmtId="0" fontId="3" fillId="2" borderId="0" xfId="49" applyNumberFormat="1" applyFont="1" applyFill="1" applyBorder="1" applyAlignment="1">
      <x:alignment horizontal="left" vertical="center" wrapText="1"/>
    </x:xf>
    <x:xf numFmtId="0" fontId="4" fillId="2" borderId="0" xfId="49" applyNumberFormat="1" applyFont="1" applyFill="1" applyBorder="1" applyAlignment="1">
      <x:alignment horizontal="left" vertical="center" wrapText="1"/>
    </x:xf>
    <x:xf numFmtId="0" fontId="4" fillId="3" borderId="1" xfId="49" applyNumberFormat="1" applyFont="1" applyFill="1" applyBorder="1" applyAlignment="1">
      <x:alignment horizontal="center" vertical="center" wrapText="1"/>
    </x:xf>
    <x:xf numFmtId="0" fontId="4" fillId="4" borderId="1" xfId="49" applyNumberFormat="1" applyFont="1" applyFill="1" applyBorder="1" applyAlignment="1">
      <x:alignment horizontal="center" vertical="center" wrapText="1"/>
    </x:xf>
    <x:xf numFmtId="176" fontId="0" fillId="0" borderId="1" xfId="49" applyNumberFormat="1" applyFont="1" applyFill="1" applyBorder="1" applyAlignment="1">
      <x:alignment horizontal="center" vertical="center" wrapText="1"/>
    </x:xf>
    <x:xf numFmtId="49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horizontal="center" vertical="center" wrapText="1"/>
    </x:xf>
    <x:xf numFmtId="2" fontId="0" fillId="0" borderId="1" xfId="49" applyNumberFormat="1" applyFont="1" applyFill="1" applyBorder="1" applyAlignment="1">
      <x:alignment horizontal="center" vertical="center" wrapText="1"/>
    </x:xf>
    <x:xf numFmtId="177" fontId="0" fillId="0" borderId="1" xfId="49" applyNumberFormat="1" applyFont="1" applyFill="1" applyBorder="1" applyAlignment="1">
      <x:alignment horizontal="center"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2" fontId="0" fillId="0" borderId="1" xfId="49" applyNumberFormat="1" applyFont="1" applyFill="1" applyBorder="1" applyAlignment="1">
      <x:alignment horizontal="left" vertical="center" wrapText="1"/>
    </x:xf>
    <x:xf numFmtId="177" fontId="0" fillId="0" borderId="1" xfId="49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24" fillId="36" borderId="0" xfId="0" applyNumberFormat="1" applyFont="1" applyFill="1" applyBorder="1"/>
    <x:xf numFmtId="0" fontId="24" fillId="36" borderId="0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25" fillId="37" borderId="0" xfId="0" applyNumberFormat="1" applyFont="1" applyFill="1" applyBorder="1"/>
    <x:xf numFmtId="0" fontId="25" fillId="37" borderId="10" xfId="0" applyNumberFormat="1" applyFont="1" applyFill="1" applyBorder="1"/>
    <x:xf numFmtId="0" fontId="25" fillId="37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177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177" fontId="0" fillId="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0b37f90d54cf8" /><Relationship Type="http://schemas.openxmlformats.org/officeDocument/2006/relationships/theme" Target="/xl/theme/theme1.xml" Id="Rf89d111b012b418a" /><Relationship Type="http://schemas.openxmlformats.org/officeDocument/2006/relationships/sharedStrings" Target="/xl/sharedStrings.xml" Id="R133668bf72b64b74" /><Relationship Type="http://schemas.openxmlformats.org/officeDocument/2006/relationships/worksheet" Target="/xl/worksheets/sheet1.xml" Id="Rd9e511bc4b5c4b8f" /><Relationship Type="http://schemas.openxmlformats.org/officeDocument/2006/relationships/worksheet" Target="/xl/worksheets/sheet2.xml" Id="Rdabc40971e2d41e9" /><Relationship Type="http://schemas.openxmlformats.org/officeDocument/2006/relationships/worksheet" Target="/xl/worksheets/sheet3.xml" Id="Recea0e07b85347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96f7b6a83347de" /><Relationship Type="http://schemas.openxmlformats.org/officeDocument/2006/relationships/chart" Target="/xl/drawings/charts/chart2.xml" Id="Rf48bb8df40fd4d03" /><Relationship Type="http://schemas.openxmlformats.org/officeDocument/2006/relationships/chart" Target="/xl/drawings/charts/chart3.xml" Id="Rbd301ff47bbc4d4a" /><Relationship Type="http://schemas.openxmlformats.org/officeDocument/2006/relationships/chart" Target="/xl/drawings/charts/chart4.xml" Id="R3e0d3b00719347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实验一：K 随 Us 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K/(V/T)</c:v>
          </c:tx>
          <c:cat>
            <c:strRef>
              <c:f>'图表'!$A$3:$A$17</c:f>
              <c:strCache>
                <c:ptCount val="0"/>
              </c:strCache>
            </c:strRef>
          </c:cat>
          <c:val>
            <c:numRef>
              <c:f>'图表'!$B$3:$B$17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实验一：K/Us 随 Us 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K/Us</c:v>
          </c:tx>
          <c:cat>
            <c:strRef>
              <c:f>'图表'!$D$3:$D$17</c:f>
              <c:strCache>
                <c:ptCount val="0"/>
              </c:strCache>
            </c:strRef>
          </c:cat>
          <c:val>
            <c:numRef>
              <c:f>'图表'!$E$3:$E$17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实验二：U' - B 线性拟合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U'/mV</c:v>
          </c:tx>
          <c:xVal>
            <c:numLit>
              <c:formatCode>General</c:formatCode>
              <c:ptCount val="0"/>
            </c:numLit>
          </c:xVal>
          <c:yVal>
            <c:numRef>
              <c:f>'图表'!$B$23:$B$32</c:f>
              <c:numCache>
                <c:formatCode>0</c:formatCode>
                <c:ptCount val="0"/>
              </c:numCache>
            </c:numRef>
          </c:yVal>
        </c:ser>
        <c:ser>
          <c:idx val="1"/>
          <c:order val="1"/>
          <c:tx>
            <c:v>拟合U'/mV</c:v>
          </c:tx>
          <c:xVal>
            <c:numLit>
              <c:formatCode>General</c:formatCode>
              <c:ptCount val="0"/>
            </c:numLit>
          </c:xVal>
          <c:yVal>
            <c:numRef>
              <c:f>'图表'!$C$23:$C$32</c:f>
              <c:numCache>
                <c:formatCode>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实验三：B(x) 实验值与理论值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B实验/mT</c:v>
          </c:tx>
          <c:cat>
            <c:strRef>
              <c:f>'图表'!$A$39:$A$81</c:f>
              <c:strCache>
                <c:ptCount val="0"/>
              </c:strCache>
            </c:strRef>
          </c:cat>
          <c:val>
            <c:numRef>
              <c:f>'图表'!$B$39:$B$81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B理论/mT</c:v>
          </c:tx>
          <c:cat>
            <c:strRef>
              <c:f>'图表'!$A$39:$A$81</c:f>
              <c:strCache>
                <c:ptCount val="0"/>
              </c:strCache>
            </c:strRef>
          </c:cat>
          <c:val>
            <c:numRef>
              <c:f>'图表'!$C$39:$C$81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6f7b6a83347de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8bb8df40fd4d03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301ff47bbc4d4a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22</xdr:col>
      <xdr:colOff>0</xdr:colOff>
      <xdr:row>63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0d3b00719347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9770e0e48e3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4.383333206176758" customWidth="1"/>
    <x:col min="2" max="18" width="10.75" customWidth="1"/>
  </x:cols>
  <x:sheetData>
    <x:row r="1" ht="30" customHeight="1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  <x:c r="M1" s="1" t="s">
        <x:v>0</x:v>
      </x:c>
      <x:c r="N1" s="1" t="s">
        <x:v>0</x:v>
      </x:c>
      <x:c r="O1" s="1" t="s">
        <x:v>0</x:v>
      </x:c>
      <x:c r="P1" s="1" t="s">
        <x:v>0</x:v>
      </x:c>
      <x:c r="Q1" s="1" t="s">
        <x:v>0</x:v>
      </x:c>
      <x:c r="R1" s="1" t="s">
        <x:v>0</x:v>
      </x:c>
    </x:row>
    <x:row r="2" ht="16" customHeight="1">
      <x:c r="A2" s="2" t="s">
        <x:v>1</x:v>
      </x:c>
    </x:row>
    <x:row r="3" ht="20.25" customHeight="1">
      <x:c r="A3" s="3" t="s">
        <x:v>2</x:v>
      </x:c>
      <x:c r="B3" s="4"/>
      <x:c r="C3" s="4" t="s">
        <x:v>3</x:v>
      </x:c>
      <x:c r="D3" s="4" t="s">
        <x:v>3</x:v>
      </x:c>
      <x:c r="E3" s="4" t="s">
        <x:v>3</x:v>
      </x:c>
      <x:c r="F3" s="4" t="s">
        <x:v>3</x:v>
      </x:c>
      <x:c r="G3" s="4" t="s">
        <x:v>3</x:v>
      </x:c>
      <x:c r="H3" s="4" t="s">
        <x:v>3</x:v>
      </x:c>
      <x:c r="I3" s="4" t="s">
        <x:v>3</x:v>
      </x:c>
      <x:c r="J3" s="4" t="s">
        <x:v>3</x:v>
      </x:c>
      <x:c r="K3" s="4" t="s">
        <x:v>3</x:v>
      </x:c>
      <x:c r="L3" s="4" t="s">
        <x:v>3</x:v>
      </x:c>
      <x:c r="M3" s="4" t="s">
        <x:v>3</x:v>
      </x:c>
      <x:c r="N3" s="4" t="s">
        <x:v>3</x:v>
      </x:c>
      <x:c r="O3" s="4" t="s">
        <x:v>3</x:v>
      </x:c>
      <x:c r="P3" s="4" t="s">
        <x:v>3</x:v>
      </x:c>
      <x:c r="Q3" s="4" t="s">
        <x:v>3</x:v>
      </x:c>
    </x:row>
    <x:row r="4" ht="20.25" customHeight="1">
      <x:c r="A4" s="5" t="s">
        <x:v>4</x:v>
      </x:c>
      <x:c r="B4" s="6">
        <x:v>1</x:v>
      </x:c>
      <x:c r="C4" s="6">
        <x:v>2</x:v>
      </x:c>
      <x:c r="D4" s="6">
        <x:v>3</x:v>
      </x:c>
      <x:c r="E4" s="6">
        <x:v>4</x:v>
      </x:c>
      <x:c r="F4" s="6">
        <x:v>5</x:v>
      </x:c>
      <x:c r="G4" s="6">
        <x:v>6</x:v>
      </x:c>
      <x:c r="H4" s="6">
        <x:v>7</x:v>
      </x:c>
      <x:c r="I4" s="6">
        <x:v>8</x:v>
      </x:c>
      <x:c r="J4" s="6">
        <x:v>9</x:v>
      </x:c>
      <x:c r="K4" s="6">
        <x:v>10</x:v>
      </x:c>
      <x:c r="L4" s="6">
        <x:v>11</x:v>
      </x:c>
      <x:c r="M4" s="6">
        <x:v>12</x:v>
      </x:c>
      <x:c r="N4" s="6">
        <x:v>13</x:v>
      </x:c>
      <x:c r="O4" s="6">
        <x:v>14</x:v>
      </x:c>
      <x:c r="P4" s="6">
        <x:v>15</x:v>
      </x:c>
      <x:c r="Q4" s="12" t="s">
        <x:v>5</x:v>
      </x:c>
    </x:row>
    <x:row r="5" ht="20.25" customHeight="1">
      <x:c r="A5" s="5" t="s">
        <x:v>6</x:v>
      </x:c>
      <x:c r="B5" s="7">
        <x:v>2.5</x:v>
      </x:c>
      <x:c r="C5" s="7">
        <x:v>3</x:v>
      </x:c>
      <x:c r="D5" s="7">
        <x:v>3.5</x:v>
      </x:c>
      <x:c r="E5" s="7">
        <x:v>4</x:v>
      </x:c>
      <x:c r="F5" s="7">
        <x:v>4.5</x:v>
      </x:c>
      <x:c r="G5" s="7">
        <x:v>5</x:v>
      </x:c>
      <x:c r="H5" s="7">
        <x:v>5.5</x:v>
      </x:c>
      <x:c r="I5" s="7">
        <x:v>6</x:v>
      </x:c>
      <x:c r="J5" s="7">
        <x:v>6.5</x:v>
      </x:c>
      <x:c r="K5" s="7">
        <x:v>7</x:v>
      </x:c>
      <x:c r="L5" s="7">
        <x:v>7.5</x:v>
      </x:c>
      <x:c r="M5" s="7">
        <x:v>8</x:v>
      </x:c>
      <x:c r="N5" s="7">
        <x:v>8.5</x:v>
      </x:c>
      <x:c r="O5" s="7">
        <x:v>9</x:v>
      </x:c>
      <x:c r="P5" s="7">
        <x:v>9.5</x:v>
      </x:c>
      <x:c r="Q5" s="13"/>
    </x:row>
    <x:row r="6" ht="20.25" customHeight="1">
      <x:c r="A6" s="5" t="s">
        <x:v>7</x:v>
      </x:c>
      <x:c r="B6" s="8" t="s">
        <x:v>8</x:v>
      </x:c>
      <x:c r="C6" s="8" t="s">
        <x:v>9</x:v>
      </x:c>
      <x:c r="D6" s="8" t="s">
        <x:v>10</x:v>
      </x:c>
      <x:c r="E6" s="8" t="s">
        <x:v>11</x:v>
      </x:c>
      <x:c r="F6" s="8" t="s">
        <x:v>12</x:v>
      </x:c>
      <x:c r="G6" s="8" t="s">
        <x:v>13</x:v>
      </x:c>
      <x:c r="H6" s="8" t="s">
        <x:v>14</x:v>
      </x:c>
      <x:c r="I6" s="8" t="s">
        <x:v>15</x:v>
      </x:c>
      <x:c r="J6" s="8" t="s">
        <x:v>16</x:v>
      </x:c>
      <x:c r="K6" s="8" t="s">
        <x:v>17</x:v>
      </x:c>
      <x:c r="L6" s="8" t="s">
        <x:v>18</x:v>
      </x:c>
      <x:c r="M6" s="8" t="s">
        <x:v>19</x:v>
      </x:c>
      <x:c r="N6" s="8" t="s">
        <x:v>20</x:v>
      </x:c>
      <x:c r="O6" s="8" t="s">
        <x:v>21</x:v>
      </x:c>
      <x:c r="P6" s="8" t="s">
        <x:v>22</x:v>
      </x:c>
      <x:c r="Q6" s="13" t="s">
        <x:v>23</x:v>
      </x:c>
    </x:row>
    <x:row r="7" ht="20.25" customHeight="1">
      <x:c r="A7" s="5" t="s">
        <x:v>24</x:v>
      </x:c>
      <x:c r="B7" s="8" t="s">
        <x:v>25</x:v>
      </x:c>
      <x:c r="C7" s="8" t="s">
        <x:v>26</x:v>
      </x:c>
      <x:c r="D7" s="8" t="s">
        <x:v>27</x:v>
      </x:c>
      <x:c r="E7" s="8" t="s">
        <x:v>28</x:v>
      </x:c>
      <x:c r="F7" s="8" t="s">
        <x:v>29</x:v>
      </x:c>
      <x:c r="G7" s="8" t="s">
        <x:v>30</x:v>
      </x:c>
      <x:c r="H7" s="8" t="s">
        <x:v>31</x:v>
      </x:c>
      <x:c r="I7" s="8" t="s">
        <x:v>32</x:v>
      </x:c>
      <x:c r="J7" s="8" t="s">
        <x:v>33</x:v>
      </x:c>
      <x:c r="K7" s="8" t="s">
        <x:v>34</x:v>
      </x:c>
      <x:c r="L7" s="8" t="s">
        <x:v>35</x:v>
      </x:c>
      <x:c r="M7" s="8" t="s">
        <x:v>36</x:v>
      </x:c>
      <x:c r="N7" s="8" t="s">
        <x:v>37</x:v>
      </x:c>
      <x:c r="O7" s="8" t="s">
        <x:v>38</x:v>
      </x:c>
      <x:c r="P7" s="8" t="s">
        <x:v>39</x:v>
      </x:c>
      <x:c r="Q7" s="14" t="s">
        <x:v>40</x:v>
      </x:c>
    </x:row>
    <x:row r="8" ht="20.25" customHeight="1">
      <x:c r="A8" s="5" t="s">
        <x:v>41</x:v>
      </x:c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14"/>
    </x:row>
    <x:row r="9" ht="20.25" customHeight="1"/>
    <x:row r="10" ht="20.25" customHeight="1"/>
    <x:row r="11" ht="20.25" customHeight="1">
      <x:c r="A11" s="3" t="s">
        <x:v>42</x:v>
      </x:c>
      <x:c r="B11" s="4"/>
      <x:c r="C11" s="4" t="s">
        <x:v>43</x:v>
      </x:c>
      <x:c r="D11" s="4" t="s">
        <x:v>43</x:v>
      </x:c>
      <x:c r="E11" s="4" t="s">
        <x:v>43</x:v>
      </x:c>
      <x:c r="F11" s="4" t="s">
        <x:v>43</x:v>
      </x:c>
      <x:c r="G11" s="4" t="s">
        <x:v>43</x:v>
      </x:c>
      <x:c r="H11" s="4" t="s">
        <x:v>43</x:v>
      </x:c>
      <x:c r="I11" s="4" t="s">
        <x:v>43</x:v>
      </x:c>
      <x:c r="J11" s="4" t="s">
        <x:v>43</x:v>
      </x:c>
      <x:c r="K11" s="4" t="s">
        <x:v>43</x:v>
      </x:c>
      <x:c r="L11" s="4" t="s">
        <x:v>43</x:v>
      </x:c>
    </x:row>
    <x:row r="12" ht="20.25" customHeight="1">
      <x:c r="A12" s="5" t="s">
        <x:v>4</x:v>
      </x:c>
      <x:c r="B12" s="6">
        <x:v>1</x:v>
      </x:c>
      <x:c r="C12" s="6">
        <x:v>2</x:v>
      </x:c>
      <x:c r="D12" s="6">
        <x:v>3</x:v>
      </x:c>
      <x:c r="E12" s="6">
        <x:v>4</x:v>
      </x:c>
      <x:c r="F12" s="6">
        <x:v>5</x:v>
      </x:c>
      <x:c r="G12" s="6">
        <x:v>6</x:v>
      </x:c>
      <x:c r="H12" s="6">
        <x:v>7</x:v>
      </x:c>
      <x:c r="I12" s="6">
        <x:v>8</x:v>
      </x:c>
      <x:c r="J12" s="6">
        <x:v>9</x:v>
      </x:c>
      <x:c r="K12" s="6">
        <x:v>10</x:v>
      </x:c>
      <x:c r="L12" s="6"/>
    </x:row>
    <x:row r="13" ht="20.25" customHeight="1">
      <x:c r="A13" s="5" t="s">
        <x:v>44</x:v>
      </x:c>
      <x:c r="B13" s="10">
        <x:v>0</x:v>
      </x:c>
      <x:c r="C13" s="10">
        <x:v>0.05</x:v>
      </x:c>
      <x:c r="D13" s="10">
        <x:v>0.1</x:v>
      </x:c>
      <x:c r="E13" s="10">
        <x:v>0.15</x:v>
      </x:c>
      <x:c r="F13" s="10">
        <x:v>0.2</x:v>
      </x:c>
      <x:c r="G13" s="10">
        <x:v>0.25</x:v>
      </x:c>
      <x:c r="H13" s="10">
        <x:v>0.3</x:v>
      </x:c>
      <x:c r="I13" s="10">
        <x:v>0.35</x:v>
      </x:c>
      <x:c r="J13" s="10">
        <x:v>0.4</x:v>
      </x:c>
      <x:c r="K13" s="10">
        <x:v>0.45</x:v>
      </x:c>
      <x:c r="L13" s="10"/>
    </x:row>
    <x:row r="14" ht="20.25" customHeight="1">
      <x:c r="A14" s="5" t="s">
        <x:v>45</x:v>
      </x:c>
      <x:c r="B14" s="8" t="s">
        <x:v>46</x:v>
      </x:c>
      <x:c r="C14" s="8" t="s">
        <x:v>47</x:v>
      </x:c>
      <x:c r="D14" s="8" t="s">
        <x:v>48</x:v>
      </x:c>
      <x:c r="E14" s="8" t="s">
        <x:v>49</x:v>
      </x:c>
      <x:c r="F14" s="8" t="s">
        <x:v>50</x:v>
      </x:c>
      <x:c r="G14" s="8" t="s">
        <x:v>51</x:v>
      </x:c>
      <x:c r="H14" s="8" t="s">
        <x:v>52</x:v>
      </x:c>
      <x:c r="I14" s="8" t="s">
        <x:v>53</x:v>
      </x:c>
      <x:c r="J14" s="8" t="s">
        <x:v>54</x:v>
      </x:c>
      <x:c r="K14" s="8" t="s">
        <x:v>55</x:v>
      </x:c>
      <x:c r="L14" s="11"/>
    </x:row>
    <x:row r="15" ht="20.25" customHeight="1">
      <x:c r="A15" s="5" t="s">
        <x:v>56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 ht="20.25" customHeight="1"/>
    <x:row r="17" ht="20.25" customHeight="1"/>
    <x:row r="18" ht="20.25" customHeight="1">
      <x:c r="A18" s="3" t="s">
        <x:v>57</x:v>
      </x:c>
      <x:c r="B18" s="4"/>
      <x:c r="C18" s="4" t="s">
        <x:v>58</x:v>
      </x:c>
      <x:c r="D18" s="4" t="s">
        <x:v>58</x:v>
      </x:c>
      <x:c r="E18" s="4" t="s">
        <x:v>58</x:v>
      </x:c>
      <x:c r="F18" s="4" t="s">
        <x:v>58</x:v>
      </x:c>
      <x:c r="G18" s="4" t="s">
        <x:v>58</x:v>
      </x:c>
      <x:c r="H18" s="4" t="s">
        <x:v>58</x:v>
      </x:c>
      <x:c r="I18" s="4" t="s">
        <x:v>58</x:v>
      </x:c>
      <x:c r="J18" s="4" t="s">
        <x:v>58</x:v>
      </x:c>
      <x:c r="K18" s="4" t="s">
        <x:v>58</x:v>
      </x:c>
      <x:c r="L18" s="4" t="s">
        <x:v>58</x:v>
      </x:c>
      <x:c r="M18" s="4" t="s">
        <x:v>58</x:v>
      </x:c>
      <x:c r="N18" s="4" t="s">
        <x:v>58</x:v>
      </x:c>
      <x:c r="O18" s="4" t="s">
        <x:v>58</x:v>
      </x:c>
      <x:c r="P18" s="4" t="s">
        <x:v>58</x:v>
      </x:c>
      <x:c r="Q18" s="4" t="s">
        <x:v>58</x:v>
      </x:c>
      <x:c r="R18" s="4" t="s">
        <x:v>58</x:v>
      </x:c>
    </x:row>
    <x:row r="19" ht="20.25" customHeight="1">
      <x:c r="A19" s="5" t="s">
        <x:v>4</x:v>
      </x:c>
      <x:c r="B19" s="6">
        <x:v>1</x:v>
      </x:c>
      <x:c r="C19" s="6">
        <x:v>2</x:v>
      </x:c>
      <x:c r="D19" s="6">
        <x:v>3</x:v>
      </x:c>
      <x:c r="E19" s="6">
        <x:v>4</x:v>
      </x:c>
      <x:c r="F19" s="6">
        <x:v>5</x:v>
      </x:c>
      <x:c r="G19" s="6">
        <x:v>6</x:v>
      </x:c>
      <x:c r="H19" s="6">
        <x:v>7</x:v>
      </x:c>
      <x:c r="I19" s="6">
        <x:v>8</x:v>
      </x:c>
      <x:c r="J19" s="6">
        <x:v>9</x:v>
      </x:c>
      <x:c r="K19" s="6">
        <x:v>10</x:v>
      </x:c>
      <x:c r="L19" s="6">
        <x:v>11</x:v>
      </x:c>
      <x:c r="M19" s="6">
        <x:v>12</x:v>
      </x:c>
      <x:c r="N19" s="6">
        <x:v>13</x:v>
      </x:c>
      <x:c r="O19" s="6">
        <x:v>14</x:v>
      </x:c>
      <x:c r="P19" s="6">
        <x:v>15</x:v>
      </x:c>
      <x:c r="Q19" s="6">
        <x:v>16</x:v>
      </x:c>
      <x:c r="R19" s="6">
        <x:v>17</x:v>
      </x:c>
    </x:row>
    <x:row r="20" ht="20.25" customHeight="1">
      <x:c r="A20" s="5" t="s">
        <x:v>59</x:v>
      </x:c>
      <x:c r="B20" s="7">
        <x:v>0</x:v>
      </x:c>
      <x:c r="C20" s="7">
        <x:v>0.5</x:v>
      </x:c>
      <x:c r="D20" s="7">
        <x:v>1</x:v>
      </x:c>
      <x:c r="E20" s="7">
        <x:v>1.5</x:v>
      </x:c>
      <x:c r="F20" s="7">
        <x:v>2</x:v>
      </x:c>
      <x:c r="G20" s="7">
        <x:v>2.5</x:v>
      </x:c>
      <x:c r="H20" s="7">
        <x:v>3</x:v>
      </x:c>
      <x:c r="I20" s="7">
        <x:v>3.5</x:v>
      </x:c>
      <x:c r="J20" s="7">
        <x:v>4</x:v>
      </x:c>
      <x:c r="K20" s="7">
        <x:v>4.5</x:v>
      </x:c>
      <x:c r="L20" s="7">
        <x:v>5</x:v>
      </x:c>
      <x:c r="M20" s="7">
        <x:v>5.5</x:v>
      </x:c>
      <x:c r="N20" s="7">
        <x:v>6</x:v>
      </x:c>
      <x:c r="O20" s="7">
        <x:v>7</x:v>
      </x:c>
      <x:c r="P20" s="7">
        <x:v>8</x:v>
      </x:c>
      <x:c r="Q20" s="7">
        <x:v>9</x:v>
      </x:c>
      <x:c r="R20" s="7">
        <x:v>10</x:v>
      </x:c>
    </x:row>
    <x:row r="21" ht="20.25" customHeight="1">
      <x:c r="A21" s="5" t="s">
        <x:v>45</x:v>
      </x:c>
      <x:c r="B21" s="8" t="s">
        <x:v>60</x:v>
      </x:c>
      <x:c r="C21" s="8" t="s">
        <x:v>61</x:v>
      </x:c>
      <x:c r="D21" s="8" t="s">
        <x:v>62</x:v>
      </x:c>
      <x:c r="E21" s="8" t="s">
        <x:v>63</x:v>
      </x:c>
      <x:c r="F21" s="8" t="s">
        <x:v>64</x:v>
      </x:c>
      <x:c r="G21" s="8" t="s">
        <x:v>65</x:v>
      </x:c>
      <x:c r="H21" s="8" t="s">
        <x:v>66</x:v>
      </x:c>
      <x:c r="I21" s="8" t="s">
        <x:v>67</x:v>
      </x:c>
      <x:c r="J21" s="8" t="s">
        <x:v>68</x:v>
      </x:c>
      <x:c r="K21" s="8" t="s">
        <x:v>69</x:v>
      </x:c>
      <x:c r="L21" s="8" t="s">
        <x:v>70</x:v>
      </x:c>
      <x:c r="M21" s="8" t="s">
        <x:v>71</x:v>
      </x:c>
      <x:c r="N21" s="8" t="s">
        <x:v>72</x:v>
      </x:c>
      <x:c r="O21" s="8" t="s">
        <x:v>73</x:v>
      </x:c>
      <x:c r="P21" s="8" t="s">
        <x:v>74</x:v>
      </x:c>
      <x:c r="Q21" s="8" t="s">
        <x:v>75</x:v>
      </x:c>
      <x:c r="R21" s="8" t="s">
        <x:v>76</x:v>
      </x:c>
    </x:row>
    <x:row r="22" ht="20.25" customHeight="1">
      <x:c r="A22" s="5" t="s">
        <x:v>5</x:v>
      </x:c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</x:row>
    <x:row r="23" ht="20.25" customHeight="1"/>
    <x:row r="24" ht="20.25" customHeight="1"/>
    <x:row r="25" ht="20.25" customHeight="1">
      <x:c r="A25" s="3" t="s">
        <x:v>77</x:v>
      </x:c>
      <x:c r="B25" s="4"/>
      <x:c r="C25" s="4" t="s">
        <x:v>58</x:v>
      </x:c>
      <x:c r="D25" s="4" t="s">
        <x:v>58</x:v>
      </x:c>
      <x:c r="E25" s="4" t="s">
        <x:v>58</x:v>
      </x:c>
      <x:c r="F25" s="4" t="s">
        <x:v>58</x:v>
      </x:c>
      <x:c r="G25" s="4" t="s">
        <x:v>58</x:v>
      </x:c>
      <x:c r="H25" s="4" t="s">
        <x:v>58</x:v>
      </x:c>
      <x:c r="I25" s="4" t="s">
        <x:v>58</x:v>
      </x:c>
      <x:c r="J25" s="4" t="s">
        <x:v>58</x:v>
      </x:c>
      <x:c r="K25" s="4" t="s">
        <x:v>58</x:v>
      </x:c>
      <x:c r="L25" s="4" t="s">
        <x:v>58</x:v>
      </x:c>
      <x:c r="M25" s="4" t="s">
        <x:v>58</x:v>
      </x:c>
      <x:c r="N25" s="4" t="s">
        <x:v>58</x:v>
      </x:c>
      <x:c r="O25" s="4" t="s">
        <x:v>58</x:v>
      </x:c>
      <x:c r="P25" s="4" t="s">
        <x:v>58</x:v>
      </x:c>
      <x:c r="Q25" s="4" t="s">
        <x:v>58</x:v>
      </x:c>
      <x:c r="R25" s="4" t="s">
        <x:v>58</x:v>
      </x:c>
    </x:row>
    <x:row r="26" ht="20.25" customHeight="1">
      <x:c r="A26" s="5" t="s">
        <x:v>4</x:v>
      </x:c>
      <x:c r="B26" s="6">
        <x:v>18</x:v>
      </x:c>
      <x:c r="C26" s="6">
        <x:v>19</x:v>
      </x:c>
      <x:c r="D26" s="6">
        <x:v>20</x:v>
      </x:c>
      <x:c r="E26" s="6">
        <x:v>21</x:v>
      </x:c>
      <x:c r="F26" s="6">
        <x:v>22</x:v>
      </x:c>
      <x:c r="G26" s="6">
        <x:v>23</x:v>
      </x:c>
      <x:c r="H26" s="6">
        <x:v>24</x:v>
      </x:c>
      <x:c r="I26" s="6">
        <x:v>25</x:v>
      </x:c>
      <x:c r="J26" s="6">
        <x:v>26</x:v>
      </x:c>
      <x:c r="K26" s="6">
        <x:v>27</x:v>
      </x:c>
      <x:c r="L26" s="6">
        <x:v>28</x:v>
      </x:c>
      <x:c r="M26" s="6">
        <x:v>29</x:v>
      </x:c>
      <x:c r="N26" s="6">
        <x:v>30</x:v>
      </x:c>
      <x:c r="O26" s="6">
        <x:v>31</x:v>
      </x:c>
      <x:c r="P26" s="6">
        <x:v>32</x:v>
      </x:c>
      <x:c r="Q26" s="6">
        <x:v>33</x:v>
      </x:c>
      <x:c r="R26" s="6">
        <x:v>34</x:v>
      </x:c>
    </x:row>
    <x:row r="27" ht="20.25" customHeight="1">
      <x:c r="A27" s="5" t="s">
        <x:v>59</x:v>
      </x:c>
      <x:c r="B27" s="7">
        <x:v>11</x:v>
      </x:c>
      <x:c r="C27" s="7">
        <x:v>12</x:v>
      </x:c>
      <x:c r="D27" s="7">
        <x:v>13</x:v>
      </x:c>
      <x:c r="E27" s="7">
        <x:v>14</x:v>
      </x:c>
      <x:c r="F27" s="7">
        <x:v>15</x:v>
      </x:c>
      <x:c r="G27" s="7">
        <x:v>16</x:v>
      </x:c>
      <x:c r="H27" s="7">
        <x:v>17</x:v>
      </x:c>
      <x:c r="I27" s="7">
        <x:v>18</x:v>
      </x:c>
      <x:c r="J27" s="7">
        <x:v>19</x:v>
      </x:c>
      <x:c r="K27" s="7">
        <x:v>20</x:v>
      </x:c>
      <x:c r="L27" s="7">
        <x:v>21</x:v>
      </x:c>
      <x:c r="M27" s="7">
        <x:v>22</x:v>
      </x:c>
      <x:c r="N27" s="7">
        <x:v>23</x:v>
      </x:c>
      <x:c r="O27" s="7">
        <x:v>24</x:v>
      </x:c>
      <x:c r="P27" s="7">
        <x:v>24.5</x:v>
      </x:c>
      <x:c r="Q27" s="7">
        <x:v>25</x:v>
      </x:c>
      <x:c r="R27" s="7">
        <x:v>25.5</x:v>
      </x:c>
    </x:row>
    <x:row r="28" ht="20.25" customHeight="1">
      <x:c r="A28" s="5" t="s">
        <x:v>45</x:v>
      </x:c>
      <x:c r="B28" s="8" t="s">
        <x:v>78</x:v>
      </x:c>
      <x:c r="C28" s="8" t="s">
        <x:v>79</x:v>
      </x:c>
      <x:c r="D28" s="8" t="s">
        <x:v>80</x:v>
      </x:c>
      <x:c r="E28" s="8" t="s">
        <x:v>81</x:v>
      </x:c>
      <x:c r="F28" s="8" t="s">
        <x:v>82</x:v>
      </x:c>
      <x:c r="G28" s="8" t="s">
        <x:v>83</x:v>
      </x:c>
      <x:c r="H28" s="8" t="s">
        <x:v>84</x:v>
      </x:c>
      <x:c r="I28" s="8" t="s">
        <x:v>85</x:v>
      </x:c>
      <x:c r="J28" s="8" t="s">
        <x:v>86</x:v>
      </x:c>
      <x:c r="K28" s="8" t="s">
        <x:v>87</x:v>
      </x:c>
      <x:c r="L28" s="8" t="s">
        <x:v>88</x:v>
      </x:c>
      <x:c r="M28" s="8" t="s">
        <x:v>89</x:v>
      </x:c>
      <x:c r="N28" s="8" t="s">
        <x:v>90</x:v>
      </x:c>
      <x:c r="O28" s="8" t="s">
        <x:v>91</x:v>
      </x:c>
      <x:c r="P28" s="8" t="s">
        <x:v>92</x:v>
      </x:c>
      <x:c r="Q28" s="8" t="s">
        <x:v>93</x:v>
      </x:c>
      <x:c r="R28" s="8" t="s">
        <x:v>94</x:v>
      </x:c>
    </x:row>
    <x:row r="29" ht="20.25" customHeight="1">
      <x:c r="A29" s="5" t="s">
        <x:v>5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</x:row>
    <x:row r="30" ht="20.25" customHeight="1"/>
    <x:row r="31" ht="20.25" customHeight="1">
      <x:c r="A31" s="3" t="s">
        <x:v>95</x:v>
      </x:c>
      <x:c r="B31" s="4"/>
      <x:c r="C31" s="4" t="s">
        <x:v>58</x:v>
      </x:c>
      <x:c r="D31" s="4" t="s">
        <x:v>58</x:v>
      </x:c>
      <x:c r="E31" s="4" t="s">
        <x:v>58</x:v>
      </x:c>
      <x:c r="F31" s="4" t="s">
        <x:v>58</x:v>
      </x:c>
      <x:c r="G31" s="4" t="s">
        <x:v>58</x:v>
      </x:c>
      <x:c r="H31" s="4" t="s">
        <x:v>58</x:v>
      </x:c>
      <x:c r="I31" s="4" t="s">
        <x:v>58</x:v>
      </x:c>
      <x:c r="J31" s="4" t="s">
        <x:v>58</x:v>
      </x:c>
      <x:c r="K31" s="4" t="s">
        <x:v>58</x:v>
      </x:c>
      <x:c r="L31" s="4" t="s">
        <x:v>58</x:v>
      </x:c>
      <x:c r="M31" s="4" t="s">
        <x:v>58</x:v>
      </x:c>
      <x:c r="N31" s="4" t="s">
        <x:v>58</x:v>
      </x:c>
      <x:c r="O31" s="4" t="s">
        <x:v>58</x:v>
      </x:c>
      <x:c r="P31" s="4" t="s">
        <x:v>58</x:v>
      </x:c>
      <x:c r="Q31" s="4" t="s">
        <x:v>58</x:v>
      </x:c>
      <x:c r="R31" s="4" t="s">
        <x:v>58</x:v>
      </x:c>
    </x:row>
    <x:row r="32" ht="20.25" customHeight="1">
      <x:c r="A32" s="5" t="s">
        <x:v>4</x:v>
      </x:c>
      <x:c r="B32" s="6">
        <x:v>18</x:v>
      </x:c>
      <x:c r="C32" s="6">
        <x:v>19</x:v>
      </x:c>
      <x:c r="D32" s="6">
        <x:v>20</x:v>
      </x:c>
      <x:c r="E32" s="6">
        <x:v>21</x:v>
      </x:c>
      <x:c r="F32" s="6">
        <x:v>22</x:v>
      </x:c>
      <x:c r="G32" s="6">
        <x:v>23</x:v>
      </x:c>
      <x:c r="H32" s="6">
        <x:v>24</x:v>
      </x:c>
      <x:c r="I32" s="6">
        <x:v>25</x:v>
      </x:c>
      <x:c r="J32" s="6">
        <x:v>26</x:v>
      </x:c>
      <x:c r="K32" s="6"/>
      <x:c r="L32" s="6"/>
      <x:c r="M32" s="6"/>
      <x:c r="N32" s="6"/>
      <x:c r="O32" s="6"/>
      <x:c r="P32" s="6"/>
      <x:c r="Q32" s="6"/>
      <x:c r="R32" s="6"/>
    </x:row>
    <x:row r="33" ht="20.25" customHeight="1">
      <x:c r="A33" s="5" t="s">
        <x:v>59</x:v>
      </x:c>
      <x:c r="B33" s="7">
        <x:v>26</x:v>
      </x:c>
      <x:c r="C33" s="7">
        <x:v>26.5</x:v>
      </x:c>
      <x:c r="D33" s="7">
        <x:v>27</x:v>
      </x:c>
      <x:c r="E33" s="7">
        <x:v>27.5</x:v>
      </x:c>
      <x:c r="F33" s="7">
        <x:v>28</x:v>
      </x:c>
      <x:c r="G33" s="7">
        <x:v>28.5</x:v>
      </x:c>
      <x:c r="H33" s="7">
        <x:v>29</x:v>
      </x:c>
      <x:c r="I33" s="7">
        <x:v>29.5</x:v>
      </x:c>
      <x:c r="J33" s="7">
        <x:v>30</x:v>
      </x:c>
      <x:c r="K33" s="7"/>
      <x:c r="L33" s="10"/>
      <x:c r="M33" s="10"/>
      <x:c r="N33" s="10"/>
      <x:c r="O33" s="10"/>
      <x:c r="P33" s="10"/>
      <x:c r="Q33" s="10"/>
      <x:c r="R33" s="10"/>
    </x:row>
    <x:row r="34" ht="20.25" customHeight="1">
      <x:c r="A34" s="5" t="s">
        <x:v>45</x:v>
      </x:c>
      <x:c r="B34" s="8" t="s">
        <x:v>96</x:v>
      </x:c>
      <x:c r="C34" s="8" t="s">
        <x:v>97</x:v>
      </x:c>
      <x:c r="D34" s="8" t="s">
        <x:v>98</x:v>
      </x:c>
      <x:c r="E34" s="8" t="s">
        <x:v>99</x:v>
      </x:c>
      <x:c r="F34" s="8" t="s">
        <x:v>100</x:v>
      </x:c>
      <x:c r="G34" s="8" t="s">
        <x:v>101</x:v>
      </x:c>
      <x:c r="H34" s="8" t="s">
        <x:v>102</x:v>
      </x:c>
      <x:c r="I34" s="8" t="s">
        <x:v>103</x:v>
      </x:c>
      <x:c r="J34" s="8" t="s">
        <x:v>104</x:v>
      </x:c>
      <x:c r="K34" s="11"/>
      <x:c r="L34" s="11"/>
      <x:c r="M34" s="11"/>
      <x:c r="N34" s="11"/>
      <x:c r="O34" s="11"/>
      <x:c r="P34" s="11"/>
      <x:c r="Q34" s="11"/>
      <x:c r="R34" s="11"/>
    </x:row>
    <x:row r="35" ht="20.25" customHeight="1">
      <x:c r="A35" s="5" t="s">
        <x:v>5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0.25" customHeight="1"/>
    <x:row r="37" ht="20.25" customHeight="1"/>
    <x:row r="38" ht="20.25" customHeight="1"/>
    <x:row r="39" ht="20.25" customHeight="1"/>
    <x:row r="40" ht="20.25" customHeight="1"/>
    <x:row r="41" ht="20.25" customHeight="1"/>
    <x:row r="42" ht="20.25" customHeight="1"/>
    <x:row r="43" ht="20.25" customHeight="1"/>
    <x:row r="44" ht="20.25" customHeight="1"/>
    <x:row r="45" ht="20.25" customHeight="1"/>
    <x:row r="46" ht="20.25" customHeight="1"/>
    <x:row r="47" ht="20.25" customHeight="1"/>
  </x:sheetData>
  <x:mergeCells>
    <x:mergeCell ref="A1:R1"/>
    <x:mergeCell ref="A3:Q3"/>
    <x:mergeCell ref="A11:L11"/>
    <x:mergeCell ref="A18:R18"/>
    <x:mergeCell ref="A25:R25"/>
    <x:mergeCell ref="A31:R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4.380000114440918" hidden="0" customWidth="1"/>
    <x:col min="3" max="3" width="14.380000114440918" hidden="0" customWidth="1"/>
    <x:col min="4" max="4" width="18.75" hidden="0" customWidth="1"/>
    <x:col min="5" max="5" width="14.380000114440918" hidden="0" customWidth="1"/>
    <x:col min="6" max="6" width="14.380000114440918" hidden="0" customWidth="1"/>
    <x:col min="7" max="7" width="13.75" hidden="0" customWidth="1"/>
  </x:cols>
  <x:sheetData>
    <x:row r="1">
      <x:c r="A1" s="17" t="str">
        <x:v>霍尔传感器实验数据处理</x:v>
      </x:c>
      <x:c r="B1" s="17"/>
      <x:c r="C1" s="17"/>
      <x:c r="D1" s="17"/>
      <x:c r="E1" s="17"/>
      <x:c r="F1" s="17"/>
      <x:c r="G1" s="17"/>
      <x:c r="H1" s="17"/>
    </x:row>
    <x:row r="3">
      <x:c r="A3" s="21" t="str">
        <x:v>参数</x:v>
      </x:c>
      <x:c r="B3" s="21" t="str">
        <x:v>数值</x:v>
      </x:c>
      <x:c r="C3" s="21" t="str">
        <x:v>单位</x:v>
      </x:c>
      <x:c r="D3" s="21" t="str">
        <x:v>说明</x:v>
      </x:c>
    </x:row>
    <x:row r="4">
      <x:c r="A4" s="24" t="str">
        <x:v>位置修正 Δx</x:v>
      </x:c>
      <x:c r="B4" s="25" t="n">
        <x:v>2.3</x:v>
      </x:c>
      <x:c r="C4" s="24" t="str">
        <x:v>cm</x:v>
      </x:c>
      <x:c r="D4" s="24" t="str">
        <x:v>螺线管起始刻度，中心刻度 = Δx + L/2</x:v>
      </x:c>
    </x:row>
    <x:row r="5">
      <x:c r="A5" s="24" t="str">
        <x:v>线圈匝数 N</x:v>
      </x:c>
      <x:c r="B5" s="25" t="n">
        <x:v>3000</x:v>
      </x:c>
      <x:c r="C5" s="24" t="str">
        <x:v>匝</x:v>
      </x:c>
      <x:c r="D5" s="24" t="str">
        <x:v>实验仪器参数</x:v>
      </x:c>
    </x:row>
    <x:row r="6">
      <x:c r="A6" s="24" t="str">
        <x:v>螺线管长度 L</x:v>
      </x:c>
      <x:c r="B6" s="25" t="n">
        <x:v>0.26</x:v>
      </x:c>
      <x:c r="C6" s="24" t="str">
        <x:v>m</x:v>
      </x:c>
      <x:c r="D6" s="24" t="str">
        <x:v>26 cm</x:v>
      </x:c>
    </x:row>
    <x:row r="7">
      <x:c r="A7" s="24" t="str">
        <x:v>螺线管内径 D</x:v>
      </x:c>
      <x:c r="B7" s="25" t="n">
        <x:v>0.025</x:v>
      </x:c>
      <x:c r="C7" s="24" t="str">
        <x:v>m</x:v>
      </x:c>
      <x:c r="D7" s="24" t="str">
        <x:v>25 mm</x:v>
      </x:c>
    </x:row>
    <x:row r="8">
      <x:c r="A8" s="24" t="str">
        <x:v>真空磁导率 μ0</x:v>
      </x:c>
      <x:c r="B8" s="25" t="n">
        <x:f>4*PI()*1E-7</x:f>
        <x:v>0.0000012566370614359173</x:v>
      </x:c>
      <x:c r="C8" s="24" t="str">
        <x:v>T·m/A</x:v>
      </x:c>
      <x:c r="D8" s="24" t="str">
        <x:v>4π×10^-7</x:v>
      </x:c>
    </x:row>
    <x:row r="9">
      <x:c r="A9" s="24" t="str">
        <x:v>中心磁场 B0(Im=0.25A)</x:v>
      </x:c>
      <x:c r="B9" s="25" t="n">
        <x:f>1000*B8*B5*0.25/SQRT(B7^2+B6^2)</x:f>
        <x:v>3.60827272285199</x:v>
      </x:c>
      <x:c r="C9" s="24" t="str">
        <x:v>mT</x:v>
      </x:c>
      <x:c r="D9" s="24" t="str">
        <x:v>用于实验一计算 K</x:v>
      </x:c>
    </x:row>
    <x:row r="10">
      <x:c r="A10" s="24" t="str">
        <x:v>数据手册参考 K</x:v>
      </x:c>
      <x:c r="B10" s="25" t="n">
        <x:v>31.25</x:v>
      </x:c>
      <x:c r="C10" s="24" t="str">
        <x:v>V/T</x:v>
      </x:c>
      <x:c r="D10" s="24" t="str">
        <x:v>SS495A 典型灵敏度</x:v>
      </x:c>
    </x:row>
    <x:row r="11">
      <x:c r="A11" s="24" t="str">
        <x:v>实验二拟合 K</x:v>
      </x:c>
      <x:c r="B11" s="25" t="n">
        <x:f>SLOPE(B39:B48,C39:C48)</x:f>
        <x:v>30.05366459553684</x:v>
      </x:c>
      <x:c r="C11" s="24" t="str">
        <x:v>V/T</x:v>
      </x:c>
      <x:c r="D11" s="24" t="str">
        <x:v>U' 对 B 的线性拟合斜率</x:v>
      </x:c>
    </x:row>
    <x:row r="12">
      <x:c r="A12" s="24" t="str">
        <x:v>实验二拟合截距</x:v>
      </x:c>
      <x:c r="B12" s="25" t="n">
        <x:f>INTERCEPT(B39:B48,C39:C48)</x:f>
        <x:v>3.478363636363653</x:v>
      </x:c>
      <x:c r="C12" s="24" t="str">
        <x:v>mV</x:v>
      </x:c>
      <x:c r="D12" s="24" t="str">
        <x:v>U' = K·B + b</x:v>
      </x:c>
    </x:row>
    <x:row r="13">
      <x:c r="A13" s="24" t="str">
        <x:v>实验二 R^2</x:v>
      </x:c>
      <x:c r="B13" s="25" t="n">
        <x:f>RSQ(B39:B48,C39:C48)</x:f>
        <x:v>0.9994483526482634</x:v>
      </x:c>
      <x:c r="C13" s="24" t="str"/>
      <x:c r="D13" s="24" t="str">
        <x:v>线性相关系数平方</x:v>
      </x:c>
    </x:row>
    <x:row r="14">
      <x:c r="A14" s="24" t="str">
        <x:v>相对误差(对参考K)</x:v>
      </x:c>
      <x:c r="B14" s="25" t="n">
        <x:f>(B11-B10)/B10</x:f>
        <x:v>-0.0382827329428211</x:v>
      </x:c>
      <x:c r="C14" s="24" t="str">
        <x:v>%</x:v>
      </x:c>
      <x:c r="D14" s="24" t="str">
        <x:v>(K拟合 - K参考)/K参考</x:v>
      </x:c>
    </x:row>
    <x:row r="15">
      <x:c r="A15" s="24"/>
      <x:c r="B15" s="26"/>
      <x:c r="C15" s="24"/>
      <x:c r="D15" s="24"/>
    </x:row>
    <x:row r="18">
      <x:c r="A18" t="str">
        <x:v>实验一：不同工作电压 Us 下的灵敏度</x:v>
      </x:c>
    </x:row>
    <x:row r="19">
      <x:c r="A19" s="21" t="str">
        <x:v>Us/V</x:v>
      </x:c>
      <x:c r="B19" s="21" t="str">
        <x:v>U0/V</x:v>
      </x:c>
      <x:c r="C19" s="21" t="str">
        <x:v>U/V</x:v>
      </x:c>
      <x:c r="D19" s="21" t="str">
        <x:v>U-U0/V</x:v>
      </x:c>
      <x:c r="E19" s="21" t="str">
        <x:v>B0/mT</x:v>
      </x:c>
      <x:c r="F19" s="21" t="str">
        <x:v>K/(V/T)</x:v>
      </x:c>
      <x:c r="G19" s="21" t="str">
        <x:v>K/Us</x:v>
      </x:c>
    </x:row>
    <x:row r="20">
      <x:c r="A20" s="25" t="n">
        <x:v>2.5</x:v>
      </x:c>
      <x:c r="B20" s="25" t="n">
        <x:v>2.42</x:v>
      </x:c>
      <x:c r="C20" s="25" t="n">
        <x:v>2.426</x:v>
      </x:c>
      <x:c r="D20" s="25" t="n">
        <x:f>C20-B20</x:f>
        <x:v>0.006000000000000227</x:v>
      </x:c>
      <x:c r="E20" s="25" t="n">
        <x:f>$B$9</x:f>
        <x:v>3.60827272285199</x:v>
      </x:c>
      <x:c r="F20" s="25" t="n">
        <x:f>D20/(E20/1000)</x:f>
        <x:v>1.6628454833807043</x:v>
      </x:c>
      <x:c r="G20" s="25" t="n">
        <x:f>F20/A20</x:f>
        <x:v>0.6651381933522817</x:v>
      </x:c>
    </x:row>
    <x:row r="21">
      <x:c r="A21" s="25" t="n">
        <x:v>3</x:v>
      </x:c>
      <x:c r="B21" s="25" t="n">
        <x:v>1.4877</x:v>
      </x:c>
      <x:c r="C21" s="25" t="n">
        <x:v>1.5398</x:v>
      </x:c>
      <x:c r="D21" s="25" t="n">
        <x:f>C21-B21</x:f>
        <x:v>0.052100000000000035</x:v>
      </x:c>
      <x:c r="E21" s="25" t="n">
        <x:f>$B$9</x:f>
        <x:v>3.60827272285199</x:v>
      </x:c>
      <x:c r="F21" s="25" t="n">
        <x:f>D21/(E21/1000)</x:f>
        <x:v>14.43904161402191</x:v>
      </x:c>
      <x:c r="G21" s="25" t="n">
        <x:f>F21/A21</x:f>
        <x:v>4.813013871340637</x:v>
      </x:c>
    </x:row>
    <x:row r="22">
      <x:c r="A22" s="25" t="n">
        <x:v>3.5</x:v>
      </x:c>
      <x:c r="B22" s="25" t="n">
        <x:v>1.7147</x:v>
      </x:c>
      <x:c r="C22" s="25" t="n">
        <x:v>1.798</x:v>
      </x:c>
      <x:c r="D22" s="25" t="n">
        <x:f>C22-B22</x:f>
        <x:v>0.08330000000000015</x:v>
      </x:c>
      <x:c r="E22" s="25" t="n">
        <x:f>$B$9</x:f>
        <x:v>3.60827272285199</x:v>
      </x:c>
      <x:c r="F22" s="25" t="n">
        <x:f>D22/(E22/1000)</x:f>
        <x:v>23.085838127601278</x:v>
      </x:c>
      <x:c r="G22" s="25" t="n">
        <x:f>F22/A22</x:f>
        <x:v>6.595953750743222</x:v>
      </x:c>
    </x:row>
    <x:row r="23">
      <x:c r="A23" s="25" t="n">
        <x:v>4</x:v>
      </x:c>
      <x:c r="B23" s="25" t="n">
        <x:v>1.9614</x:v>
      </x:c>
      <x:c r="C23" s="25" t="n">
        <x:v>2.0575</x:v>
      </x:c>
      <x:c r="D23" s="25" t="n">
        <x:f>C23-B23</x:f>
        <x:v>0.09610000000000007</x:v>
      </x:c>
      <x:c r="E23" s="25" t="n">
        <x:f>$B$9</x:f>
        <x:v>3.60827272285199</x:v>
      </x:c>
      <x:c r="F23" s="25" t="n">
        <x:f>D23/(E23/1000)</x:f>
        <x:v>26.633241825479956</x:v>
      </x:c>
      <x:c r="G23" s="25" t="n">
        <x:f>F23/A23</x:f>
        <x:v>6.658310456369989</x:v>
      </x:c>
    </x:row>
    <x:row r="24">
      <x:c r="A24" s="25" t="n">
        <x:v>4.5</x:v>
      </x:c>
      <x:c r="B24" s="25" t="n">
        <x:v>2.208</x:v>
      </x:c>
      <x:c r="C24" s="25" t="n">
        <x:v>2.318</x:v>
      </x:c>
      <x:c r="D24" s="25" t="n">
        <x:f>C24-B24</x:f>
        <x:v>0.10999999999999988</x:v>
      </x:c>
      <x:c r="E24" s="25" t="n">
        <x:f>$B$9</x:f>
        <x:v>3.60827272285199</x:v>
      </x:c>
      <x:c r="F24" s="25" t="n">
        <x:f>D24/(E24/1000)</x:f>
        <x:v>30.485500528645055</x:v>
      </x:c>
      <x:c r="G24" s="25" t="n">
        <x:f>F24/A24</x:f>
        <x:v>6.774555673032235</x:v>
      </x:c>
    </x:row>
    <x:row r="25">
      <x:c r="A25" s="25" t="n">
        <x:v>5</x:v>
      </x:c>
      <x:c r="B25" s="25" t="n">
        <x:v>2.458</x:v>
      </x:c>
      <x:c r="C25" s="25" t="n">
        <x:v>2.577</x:v>
      </x:c>
      <x:c r="D25" s="25" t="n">
        <x:f>C25-B25</x:f>
        <x:v>0.11899999999999977</x:v>
      </x:c>
      <x:c r="E25" s="25" t="n">
        <x:f>$B$9</x:f>
        <x:v>3.60827272285199</x:v>
      </x:c>
      <x:c r="F25" s="25" t="n">
        <x:f>D25/(E25/1000)</x:f>
        <x:v>32.97976875371599</x:v>
      </x:c>
      <x:c r="G25" s="25" t="n">
        <x:f>F25/A25</x:f>
        <x:v>6.595953750743197</x:v>
      </x:c>
    </x:row>
    <x:row r="26">
      <x:c r="A26" s="25" t="n">
        <x:v>5.5</x:v>
      </x:c>
      <x:c r="B26" s="25" t="n">
        <x:v>2.707</x:v>
      </x:c>
      <x:c r="C26" s="25" t="n">
        <x:v>2.839</x:v>
      </x:c>
      <x:c r="D26" s="25" t="n">
        <x:f>C26-B26</x:f>
        <x:v>0.13200000000000012</x:v>
      </x:c>
      <x:c r="E26" s="25" t="n">
        <x:f>$B$9</x:f>
        <x:v>3.60827272285199</x:v>
      </x:c>
      <x:c r="F26" s="25" t="n">
        <x:f>D26/(E26/1000)</x:f>
        <x:v>36.58260063437414</x:v>
      </x:c>
      <x:c r="G26" s="25" t="n">
        <x:f>F26/A26</x:f>
        <x:v>6.651381933522571</x:v>
      </x:c>
    </x:row>
    <x:row r="27">
      <x:c r="A27" s="25" t="n">
        <x:v>6</x:v>
      </x:c>
      <x:c r="B27" s="25" t="n">
        <x:v>2.952</x:v>
      </x:c>
      <x:c r="C27" s="25" t="n">
        <x:v>3.099</x:v>
      </x:c>
      <x:c r="D27" s="25" t="n">
        <x:f>C27-B27</x:f>
        <x:v>0.14700000000000024</x:v>
      </x:c>
      <x:c r="E27" s="25" t="n">
        <x:f>$B$9</x:f>
        <x:v>3.60827272285199</x:v>
      </x:c>
      <x:c r="F27" s="25" t="n">
        <x:f>D27/(E27/1000)</x:f>
        <x:v>40.73971434282578</x:v>
      </x:c>
      <x:c r="G27" s="25" t="n">
        <x:f>F27/A27</x:f>
        <x:v>6.789952390470963</x:v>
      </x:c>
    </x:row>
    <x:row r="28">
      <x:c r="A28" s="25" t="n">
        <x:v>6.5</x:v>
      </x:c>
      <x:c r="B28" s="25" t="n">
        <x:v>3.197</x:v>
      </x:c>
      <x:c r="C28" s="25" t="n">
        <x:v>3.356</x:v>
      </x:c>
      <x:c r="D28" s="25" t="n">
        <x:f>C28-B28</x:f>
        <x:v>0.1589999999999998</x:v>
      </x:c>
      <x:c r="E28" s="25" t="n">
        <x:f>$B$9</x:f>
        <x:v>3.60827272285199</x:v>
      </x:c>
      <x:c r="F28" s="25" t="n">
        <x:f>D28/(E28/1000)</x:f>
        <x:v>44.06540530958694</x:v>
      </x:c>
      <x:c r="G28" s="25" t="n">
        <x:f>F28/A28</x:f>
        <x:v>6.779293124551837</x:v>
      </x:c>
    </x:row>
    <x:row r="29">
      <x:c r="A29" s="25" t="n">
        <x:v>7</x:v>
      </x:c>
      <x:c r="B29" s="25" t="n">
        <x:v>3.446</x:v>
      </x:c>
      <x:c r="C29" s="25" t="n">
        <x:v>3.613</x:v>
      </x:c>
      <x:c r="D29" s="25" t="n">
        <x:f>C29-B29</x:f>
        <x:v>0.16699999999999982</x:v>
      </x:c>
      <x:c r="E29" s="25" t="n">
        <x:f>$B$9</x:f>
        <x:v>3.60827272285199</x:v>
      </x:c>
      <x:c r="F29" s="25" t="n">
        <x:f>D29/(E29/1000)</x:f>
        <x:v>46.28253262076113</x:v>
      </x:c>
      <x:c r="G29" s="25" t="n">
        <x:f>F29/A29</x:f>
        <x:v>6.611790374394447</x:v>
      </x:c>
    </x:row>
    <x:row r="30">
      <x:c r="A30" s="25" t="n">
        <x:v>7.5</x:v>
      </x:c>
      <x:c r="B30" s="25" t="n">
        <x:v>3.691</x:v>
      </x:c>
      <x:c r="C30" s="25" t="n">
        <x:v>3.874</x:v>
      </x:c>
      <x:c r="D30" s="25" t="n">
        <x:f>C30-B30</x:f>
        <x:v>0.18300000000000027</x:v>
      </x:c>
      <x:c r="E30" s="25" t="n">
        <x:f>$B$9</x:f>
        <x:v>3.60827272285199</x:v>
      </x:c>
      <x:c r="F30" s="25" t="n">
        <x:f>D30/(E30/1000)</x:f>
        <x:v>50.716787243109636</x:v>
      </x:c>
      <x:c r="G30" s="25" t="n">
        <x:f>F30/A30</x:f>
        <x:v>6.762238299081285</x:v>
      </x:c>
    </x:row>
    <x:row r="31">
      <x:c r="A31" s="25" t="n">
        <x:v>8</x:v>
      </x:c>
      <x:c r="B31" s="25" t="n">
        <x:v>3.941</x:v>
      </x:c>
      <x:c r="C31" s="25" t="n">
        <x:v>4.126</x:v>
      </x:c>
      <x:c r="D31" s="25" t="n">
        <x:f>C31-B31</x:f>
        <x:v>0.1850000000000005</x:v>
      </x:c>
      <x:c r="E31" s="25" t="n">
        <x:f>$B$9</x:f>
        <x:v>3.60827272285199</x:v>
      </x:c>
      <x:c r="F31" s="25" t="n">
        <x:f>D31/(E31/1000)</x:f>
        <x:v>51.271069070903245</x:v>
      </x:c>
      <x:c r="G31" s="25" t="n">
        <x:f>F31/A31</x:f>
        <x:v>6.408883633862906</x:v>
      </x:c>
    </x:row>
    <x:row r="32">
      <x:c r="A32" s="25" t="n">
        <x:v>8.5</x:v>
      </x:c>
      <x:c r="B32" s="25" t="n">
        <x:v>4.192</x:v>
      </x:c>
      <x:c r="C32" s="25" t="n">
        <x:v>4.384</x:v>
      </x:c>
      <x:c r="D32" s="25" t="n">
        <x:f>C32-B32</x:f>
        <x:v>0.19200000000000017</x:v>
      </x:c>
      <x:c r="E32" s="25" t="n">
        <x:f>$B$9</x:f>
        <x:v>3.60827272285199</x:v>
      </x:c>
      <x:c r="F32" s="25" t="n">
        <x:f>D32/(E32/1000)</x:f>
        <x:v>53.21105546818057</x:v>
      </x:c>
      <x:c r="G32" s="25" t="n">
        <x:f>F32/A32</x:f>
        <x:v>6.260124172727125</x:v>
      </x:c>
    </x:row>
    <x:row r="33">
      <x:c r="A33" s="25" t="n">
        <x:v>9</x:v>
      </x:c>
      <x:c r="B33" s="25" t="n">
        <x:v>4.435</x:v>
      </x:c>
      <x:c r="C33" s="25" t="n">
        <x:v>4.644</x:v>
      </x:c>
      <x:c r="D33" s="25" t="n">
        <x:f>C33-B33</x:f>
        <x:v>0.20900000000000052</x:v>
      </x:c>
      <x:c r="E33" s="25" t="n">
        <x:f>$B$9</x:f>
        <x:v>3.60827272285199</x:v>
      </x:c>
      <x:c r="F33" s="25" t="n">
        <x:f>D33/(E33/1000)</x:f>
        <x:v>57.92245100442582</x:v>
      </x:c>
      <x:c r="G33" s="25" t="n">
        <x:f>F33/A33</x:f>
        <x:v>6.435827889380646</x:v>
      </x:c>
    </x:row>
    <x:row r="34">
      <x:c r="A34" s="25" t="n">
        <x:v>9.5</x:v>
      </x:c>
      <x:c r="B34" s="25" t="n">
        <x:v>4.683</x:v>
      </x:c>
      <x:c r="C34" s="25" t="n">
        <x:v>4.898</x:v>
      </x:c>
      <x:c r="D34" s="25" t="n">
        <x:f>C34-B34</x:f>
        <x:v>0.21499999999999986</x:v>
      </x:c>
      <x:c r="E34" s="25" t="n">
        <x:f>$B$9</x:f>
        <x:v>3.60827272285199</x:v>
      </x:c>
      <x:c r="F34" s="25" t="n">
        <x:f>D34/(E34/1000)</x:f>
        <x:v>59.58529648780627</x:v>
      </x:c>
      <x:c r="G34" s="25" t="n">
        <x:f>F34/A34</x:f>
        <x:v>6.27213647240066</x:v>
      </x:c>
    </x:row>
    <x:row r="37">
      <x:c r="A37" t="str">
        <x:v>实验二：输出电压 U' 与磁场强度 B 的关系</x:v>
      </x:c>
    </x:row>
    <x:row r="38">
      <x:c r="A38" s="21" t="str">
        <x:v>Im/A</x:v>
      </x:c>
      <x:c r="B38" s="21" t="str">
        <x:v>U'=U-U0/mV</x:v>
      </x:c>
      <x:c r="C38" s="21" t="str">
        <x:v>B/mT</x:v>
      </x:c>
      <x:c r="D38" s="21" t="str">
        <x:v>拟合U'/mV</x:v>
      </x:c>
      <x:c r="E38" s="21" t="str">
        <x:v>残差/mV</x:v>
      </x:c>
    </x:row>
    <x:row r="39">
      <x:c r="A39" s="25" t="n">
        <x:v>0</x:v>
      </x:c>
      <x:c r="B39" s="25" t="n">
        <x:v>-0.01</x:v>
      </x:c>
      <x:c r="C39" s="25" t="n">
        <x:f>1000*$B$8*$B$5*A39/SQRT($B$7^2+$B$6^2)</x:f>
        <x:v>0</x:v>
      </x:c>
      <x:c r="D39" s="25" t="n">
        <x:f>$B$11*C39+$B$12</x:f>
        <x:v>3.478363636363653</x:v>
      </x:c>
      <x:c r="E39" s="25" t="n">
        <x:f>B39-D39</x:f>
        <x:v>-3.488363636363653</x:v>
      </x:c>
    </x:row>
    <x:row r="40">
      <x:c r="A40" s="25" t="n">
        <x:v>0.05</x:v>
      </x:c>
      <x:c r="B40" s="25" t="n">
        <x:v>26.98</x:v>
      </x:c>
      <x:c r="C40" s="25" t="n">
        <x:f>1000*$B$8*$B$5*A40/SQRT($B$7^2+$B$6^2)</x:f>
        <x:v>0.721654544570398</x:v>
      </x:c>
      <x:c r="D40" s="25" t="n">
        <x:f>$B$11*C40+$B$12</x:f>
        <x:v>25.166727272727286</x:v>
      </x:c>
      <x:c r="E40" s="25" t="n">
        <x:f>B40-D40</x:f>
        <x:v>1.8132727272727145</x:v>
      </x:c>
    </x:row>
    <x:row r="41">
      <x:c r="A41" s="25" t="n">
        <x:v>0.1</x:v>
      </x:c>
      <x:c r="B41" s="25" t="n">
        <x:v>48.1</x:v>
      </x:c>
      <x:c r="C41" s="25" t="n">
        <x:f>1000*$B$8*$B$5*A41/SQRT($B$7^2+$B$6^2)</x:f>
        <x:v>1.443309089140796</x:v>
      </x:c>
      <x:c r="D41" s="25" t="n">
        <x:f>$B$11*C41+$B$12</x:f>
        <x:v>46.85509090909092</x:v>
      </x:c>
      <x:c r="E41" s="25" t="n">
        <x:f>B41-D41</x:f>
        <x:v>1.2449090909090827</x:v>
      </x:c>
    </x:row>
    <x:row r="42">
      <x:c r="A42" s="25" t="n">
        <x:v>0.15</x:v>
      </x:c>
      <x:c r="B42" s="25" t="n">
        <x:v>68.78</x:v>
      </x:c>
      <x:c r="C42" s="25" t="n">
        <x:f>1000*$B$8*$B$5*A42/SQRT($B$7^2+$B$6^2)</x:f>
        <x:v>2.164963633711194</x:v>
      </x:c>
      <x:c r="D42" s="25" t="n">
        <x:f>$B$11*C42+$B$12</x:f>
        <x:v>68.54345454545455</x:v>
      </x:c>
      <x:c r="E42" s="25" t="n">
        <x:f>B42-D42</x:f>
        <x:v>0.23654545454544973</x:v>
      </x:c>
    </x:row>
    <x:row r="43">
      <x:c r="A43" s="25" t="n">
        <x:v>0.2</x:v>
      </x:c>
      <x:c r="B43" s="25" t="n">
        <x:v>92.02</x:v>
      </x:c>
      <x:c r="C43" s="25" t="n">
        <x:f>1000*$B$8*$B$5*A43/SQRT($B$7^2+$B$6^2)</x:f>
        <x:v>2.886618178281592</x:v>
      </x:c>
      <x:c r="D43" s="25" t="n">
        <x:f>$B$11*C43+$B$12</x:f>
        <x:v>90.23181818181818</x:v>
      </x:c>
      <x:c r="E43" s="25" t="n">
        <x:f>B43-D43</x:f>
        <x:v>1.7881818181818119</x:v>
      </x:c>
    </x:row>
    <x:row r="44">
      <x:c r="A44" s="25" t="n">
        <x:v>0.25</x:v>
      </x:c>
      <x:c r="B44" s="25" t="n">
        <x:v>112.1</x:v>
      </x:c>
      <x:c r="C44" s="25" t="n">
        <x:f>1000*$B$8*$B$5*A44/SQRT($B$7^2+$B$6^2)</x:f>
        <x:v>3.60827272285199</x:v>
      </x:c>
      <x:c r="D44" s="25" t="n">
        <x:f>$B$11*C44+$B$12</x:f>
        <x:v>111.92018181818183</x:v>
      </x:c>
      <x:c r="E44" s="25" t="n">
        <x:f>B44-D44</x:f>
        <x:v>0.17981818181816323</x:v>
      </x:c>
    </x:row>
    <x:row r="45">
      <x:c r="A45" s="25" t="n">
        <x:v>0.3</x:v>
      </x:c>
      <x:c r="B45" s="25" t="n">
        <x:v>133.16</x:v>
      </x:c>
      <x:c r="C45" s="25" t="n">
        <x:f>1000*$B$8*$B$5*A45/SQRT($B$7^2+$B$6^2)</x:f>
        <x:v>4.329927267422388</x:v>
      </x:c>
      <x:c r="D45" s="25" t="n">
        <x:f>$B$11*C45+$B$12</x:f>
        <x:v>133.60854545454544</x:v>
      </x:c>
      <x:c r="E45" s="25" t="n">
        <x:f>B45-D45</x:f>
        <x:v>-0.4485454545454388</x:v>
      </x:c>
    </x:row>
    <x:row r="46">
      <x:c r="A46" s="25" t="n">
        <x:v>0.35</x:v>
      </x:c>
      <x:c r="B46" s="25" t="n">
        <x:v>154.51</x:v>
      </x:c>
      <x:c r="C46" s="25" t="n">
        <x:f>1000*$B$8*$B$5*A46/SQRT($B$7^2+$B$6^2)</x:f>
        <x:v>5.0515818119927856</x:v>
      </x:c>
      <x:c r="D46" s="25" t="n">
        <x:f>$B$11*C46+$B$12</x:f>
        <x:v>155.29690909090908</x:v>
      </x:c>
      <x:c r="E46" s="25" t="n">
        <x:f>B46-D46</x:f>
        <x:v>-0.7869090909090914</x:v>
      </x:c>
    </x:row>
    <x:row r="47">
      <x:c r="A47" s="25" t="n">
        <x:v>0.4</x:v>
      </x:c>
      <x:c r="B47" s="25" t="n">
        <x:v>177</x:v>
      </x:c>
      <x:c r="C47" s="25" t="n">
        <x:f>1000*$B$8*$B$5*A47/SQRT($B$7^2+$B$6^2)</x:f>
        <x:v>5.773236356563184</x:v>
      </x:c>
      <x:c r="D47" s="25" t="n">
        <x:f>$B$11*C47+$B$12</x:f>
        <x:v>176.98527272727273</x:v>
      </x:c>
      <x:c r="E47" s="25" t="n">
        <x:f>B47-D47</x:f>
        <x:v>0.014727272727270702</x:v>
      </x:c>
    </x:row>
    <x:row r="48">
      <x:c r="A48" s="25" t="n">
        <x:v>0.45</x:v>
      </x:c>
      <x:c r="B48" s="25" t="n">
        <x:v>198.12</x:v>
      </x:c>
      <x:c r="C48" s="25" t="n">
        <x:f>1000*$B$8*$B$5*A48/SQRT($B$7^2+$B$6^2)</x:f>
        <x:v>6.494890901133582</x:v>
      </x:c>
      <x:c r="D48" s="25" t="n">
        <x:f>$B$11*C48+$B$12</x:f>
        <x:v>198.67363636363632</x:v>
      </x:c>
      <x:c r="E48" s="25" t="n">
        <x:f>B48-D48</x:f>
        <x:v>-0.5536363636363149</x:v>
      </x:c>
    </x:row>
    <x:row r="52">
      <x:c r="A52" t="str">
        <x:v>实验三：螺线管内磁场 B(x) 分布</x:v>
      </x:c>
    </x:row>
    <x:row r="53">
      <x:c r="A53" s="21" t="str">
        <x:v>原刻度X/cm</x:v>
      </x:c>
      <x:c r="B53" s="21" t="str">
        <x:v>中心坐标x/cm</x:v>
      </x:c>
      <x:c r="C53" s="21" t="str">
        <x:v>U'=U-U0/mV</x:v>
      </x:c>
      <x:c r="D53" s="21" t="str">
        <x:v>B实验/mT</x:v>
      </x:c>
      <x:c r="E53" s="21" t="str">
        <x:v>B理论/mT</x:v>
      </x:c>
      <x:c r="F53" s="21" t="str">
        <x:v>相对偏差/%</x:v>
      </x:c>
    </x:row>
    <x:row r="54">
      <x:c r="A54" s="25" t="n">
        <x:v>0</x:v>
      </x:c>
      <x:c r="B54" s="25" t="n">
        <x:f>A54-($B$4+$B$6*100/2)</x:f>
        <x:v>-15.3</x:v>
      </x:c>
      <x:c r="C54" s="25" t="n">
        <x:v>11.87</x:v>
      </x:c>
      <x:c r="D54" s="25" t="n">
        <x:f>C54/$B$11</x:f>
        <x:v>0.3949601541025639</x:v>
      </x:c>
      <x:c r="E54" s="25" t="n">
        <x:f>1000*$B$8*$B$5*0.25/$B$6*((($B$6+2*(B54/100))/(2*SQRT($B$7^2+($B$6+2*(B54/100))^2)))+(($B$6-2*(B54/100))/(2*SQRT($B$7^2+($B$6-2*(B54/100))^2))))</x:f>
        <x:v>0.21822246554724242</x:v>
      </x:c>
      <x:c r="F54" s="26" t="n">
        <x:f>(D54-E54)/E54</x:f>
        <x:v>0.8098968550836944</x:v>
      </x:c>
    </x:row>
    <x:row r="55">
      <x:c r="A55" s="25" t="n">
        <x:v>0.5</x:v>
      </x:c>
      <x:c r="B55" s="25" t="n">
        <x:f>A55-($B$4+$B$6*100/2)</x:f>
        <x:v>-14.8</x:v>
      </x:c>
      <x:c r="C55" s="25" t="n">
        <x:v>16.35</x:v>
      </x:c>
      <x:c r="D55" s="25" t="n">
        <x:f>C55/$B$11</x:f>
        <x:v>0.5440268339997406</x:v>
      </x:c>
      <x:c r="E55" s="25" t="n">
        <x:f>1000*$B$8*$B$5*0.25/$B$6*((($B$6+2*(B55/100))/(2*SQRT($B$7^2+($B$6+2*(B55/100))^2)))+(($B$6-2*(B55/100))/(2*SQRT($B$7^2+($B$6-2*(B55/100))^2))))</x:f>
        <x:v>0.32192990289051565</x:v>
      </x:c>
      <x:c r="F55" s="26" t="n">
        <x:f>(D55-E55)/E55</x:f>
        <x:v>0.6898922067042569</x:v>
      </x:c>
    </x:row>
    <x:row r="56">
      <x:c r="A56" s="25" t="n">
        <x:v>1</x:v>
      </x:c>
      <x:c r="B56" s="25" t="n">
        <x:f>A56-($B$4+$B$6*100/2)</x:f>
        <x:v>-14.3</x:v>
      </x:c>
      <x:c r="C56" s="25" t="n">
        <x:v>23.35</x:v>
      </x:c>
      <x:c r="D56" s="25" t="n">
        <x:f>C56/$B$11</x:f>
        <x:v>0.7769435213390791</x:v>
      </x:c>
      <x:c r="E56" s="25" t="n">
        <x:f>1000*$B$8*$B$5*0.25/$B$6*((($B$6+2*(B56/100))/(2*SQRT($B$7^2+($B$6+2*(B56/100))^2)))+(($B$6-2*(B56/100))/(2*SQRT($B$7^2+($B$6-2*(B56/100))^2))))</x:f>
        <x:v>0.5040812238603534</x:v>
      </x:c>
      <x:c r="F56" s="26" t="n">
        <x:f>(D56-E56)/E56</x:f>
        <x:v>0.541306211306766</x:v>
      </x:c>
    </x:row>
    <x:row r="57">
      <x:c r="A57" s="25" t="n">
        <x:v>1.5</x:v>
      </x:c>
      <x:c r="B57" s="25" t="n">
        <x:f>A57-($B$4+$B$6*100/2)</x:f>
        <x:v>-13.8</x:v>
      </x:c>
      <x:c r="C57" s="25" t="n">
        <x:v>34.27</x:v>
      </x:c>
      <x:c r="D57" s="25" t="n">
        <x:f>C57/$B$11</x:f>
        <x:v>1.140293553588447</x:v>
      </x:c>
      <x:c r="E57" s="25" t="n">
        <x:f>1000*$B$8*$B$5*0.25/$B$6*((($B$6+2*(B57/100))/(2*SQRT($B$7^2+($B$6+2*(B57/100))^2)))+(($B$6-2*(B57/100))/(2*SQRT($B$7^2+($B$6-2*(B57/100))^2))))</x:f>
        <x:v>0.8334772425316294</x:v>
      </x:c>
      <x:c r="F57" s="26" t="n">
        <x:f>(D57-E57)/E57</x:f>
        <x:v>0.36811600293354674</x:v>
      </x:c>
    </x:row>
    <x:row r="58">
      <x:c r="A58" s="25" t="n">
        <x:v>2</x:v>
      </x:c>
      <x:c r="B58" s="25" t="n">
        <x:f>A58-($B$4+$B$6*100/2)</x:f>
        <x:v>-13.3</x:v>
      </x:c>
      <x:c r="C58" s="25" t="n">
        <x:v>48.42</x:v>
      </x:c>
      <x:c r="D58" s="25" t="n">
        <x:f>C58/$B$11</x:f>
        <x:v>1.6111180001386811</x:v>
      </x:c>
      <x:c r="E58" s="25" t="n">
        <x:f>1000*$B$8*$B$5*0.25/$B$6*((($B$6+2*(B58/100))/(2*SQRT($B$7^2+($B$6+2*(B58/100))^2)))+(($B$6-2*(B58/100))/(2*SQRT($B$7^2+($B$6-2*(B58/100))^2))))</x:f>
        <x:v>1.3874351163407184</x:v>
      </x:c>
      <x:c r="F58" s="26" t="n">
        <x:f>(D58-E58)/E58</x:f>
        <x:v>0.16122042837427505</x:v>
      </x:c>
    </x:row>
    <x:row r="59">
      <x:c r="A59" s="25" t="n">
        <x:v>2.5</x:v>
      </x:c>
      <x:c r="B59" s="25" t="n">
        <x:f>A59-($B$4+$B$6*100/2)</x:f>
        <x:v>-12.8</x:v>
      </x:c>
      <x:c r="C59" s="25" t="n">
        <x:v>65.43</x:v>
      </x:c>
      <x:c r="D59" s="25" t="n">
        <x:f>C59/$B$11</x:f>
        <x:v>2.1771055503732737</x:v>
      </x:c>
      <x:c r="E59" s="25" t="n">
        <x:f>1000*$B$8*$B$5*0.25/$B$6*((($B$6+2*(B59/100))/(2*SQRT($B$7^2+($B$6+2*(B59/100))^2)))+(($B$6-2*(B59/100))/(2*SQRT($B$7^2+($B$6-2*(B59/100))^2))))</x:f>
        <x:v>2.096684825632222</x:v>
      </x:c>
      <x:c r="F59" s="26" t="n">
        <x:f>(D59-E59)/E59</x:f>
        <x:v>0.038356134292526385</x:v>
      </x:c>
    </x:row>
    <x:row r="60">
      <x:c r="A60" s="25" t="n">
        <x:v>3</x:v>
      </x:c>
      <x:c r="B60" s="25" t="n">
        <x:f>A60-($B$4+$B$6*100/2)</x:f>
        <x:v>-12.3</x:v>
      </x:c>
      <x:c r="C60" s="25" t="n">
        <x:v>77.8</x:v>
      </x:c>
      <x:c r="D60" s="25" t="n">
        <x:f>C60/$B$11</x:f>
        <x:v>2.5887026107143614</x:v>
      </x:c>
      <x:c r="E60" s="25" t="n">
        <x:f>1000*$B$8*$B$5*0.25/$B$6*((($B$6+2*(B60/100))/(2*SQRT($B$7^2+($B$6+2*(B60/100))^2)))+(($B$6-2*(B60/100))/(2*SQRT($B$7^2+($B$6-2*(B60/100))^2))))</x:f>
        <x:v>2.695821923637855</x:v>
      </x:c>
      <x:c r="F60" s="26" t="n">
        <x:f>(D60-E60)/E60</x:f>
        <x:v>-0.03973530743415814</x:v>
      </x:c>
    </x:row>
    <x:row r="61">
      <x:c r="A61" s="25" t="n">
        <x:v>3.5</x:v>
      </x:c>
      <x:c r="B61" s="25" t="n">
        <x:f>A61-($B$4+$B$6*100/2)</x:f>
        <x:v>-11.8</x:v>
      </x:c>
      <x:c r="C61" s="25" t="n">
        <x:v>88.08</x:v>
      </x:c>
      <x:c r="D61" s="25" t="n">
        <x:f>C61/$B$11</x:f>
        <x:v>2.9307574029784185</x:v>
      </x:c>
      <x:c r="E61" s="25" t="n">
        <x:f>1000*$B$8*$B$5*0.25/$B$6*((($B$6+2*(B61/100))/(2*SQRT($B$7^2+($B$6+2*(B61/100))^2)))+(($B$6-2*(B61/100))/(2*SQRT($B$7^2+($B$6-2*(B61/100))^2))))</x:f>
        <x:v>3.0653437846651923</x:v>
      </x:c>
      <x:c r="F61" s="26" t="n">
        <x:f>(D61-E61)/E61</x:f>
        <x:v>-0.04390580344040394</x:v>
      </x:c>
    </x:row>
    <x:row r="62">
      <x:c r="A62" s="25" t="n">
        <x:v>4</x:v>
      </x:c>
      <x:c r="B62" s="25" t="n">
        <x:f>A62-($B$4+$B$6*100/2)</x:f>
        <x:v>-11.3</x:v>
      </x:c>
      <x:c r="C62" s="25" t="n">
        <x:v>94.74</x:v>
      </x:c>
      <x:c r="D62" s="25" t="n">
        <x:f>C62/$B$11</x:f>
        <x:v>3.1523609940755604</x:v>
      </x:c>
      <x:c r="E62" s="25" t="n">
        <x:f>1000*$B$8*$B$5*0.25/$B$6*((($B$6+2*(B62/100))/(2*SQRT($B$7^2+($B$6+2*(B62/100))^2)))+(($B$6-2*(B62/100))/(2*SQRT($B$7^2+($B$6-2*(B62/100))^2))))</x:f>
        <x:v>3.27027212950713</x:v>
      </x:c>
      <x:c r="F62" s="26" t="n">
        <x:f>(D62-E62)/E62</x:f>
        <x:v>-0.03605545066652924</x:v>
      </x:c>
    </x:row>
    <x:row r="63">
      <x:c r="A63" s="25" t="n">
        <x:v>4.5</x:v>
      </x:c>
      <x:c r="B63" s="25" t="n">
        <x:f>A63-($B$4+$B$6*100/2)</x:f>
        <x:v>-10.8</x:v>
      </x:c>
      <x:c r="C63" s="25" t="n">
        <x:v>99.65</x:v>
      </x:c>
      <x:c r="D63" s="25" t="n">
        <x:f>C63/$B$11</x:f>
        <x:v>3.3157354133378685</x:v>
      </x:c>
      <x:c r="E63" s="25" t="n">
        <x:f>1000*$B$8*$B$5*0.25/$B$6*((($B$6+2*(B63/100))/(2*SQRT($B$7^2+($B$6+2*(B63/100))^2)))+(($B$6-2*(B63/100))/(2*SQRT($B$7^2+($B$6-2*(B63/100))^2))))</x:f>
        <x:v>3.3858155524214926</x:v>
      </x:c>
      <x:c r="F63" s="26" t="n">
        <x:f>(D63-E63)/E63</x:f>
        <x:v>-0.020698156174958692</x:v>
      </x:c>
    </x:row>
    <x:row r="64">
      <x:c r="A64" s="25" t="n">
        <x:v>5</x:v>
      </x:c>
      <x:c r="B64" s="25" t="n">
        <x:f>A64-($B$4+$B$6*100/2)</x:f>
        <x:v>-10.3</x:v>
      </x:c>
      <x:c r="C64" s="25" t="n">
        <x:v>102.81</x:v>
      </x:c>
      <x:c r="D64" s="25" t="n">
        <x:f>C64/$B$11</x:f>
        <x:v>3.420880660765341</x:v>
      </x:c>
      <x:c r="E64" s="25" t="n">
        <x:f>1000*$B$8*$B$5*0.25/$B$6*((($B$6+2*(B64/100))/(2*SQRT($B$7^2+($B$6+2*(B64/100))^2)))+(($B$6-2*(B64/100))/(2*SQRT($B$7^2+($B$6-2*(B64/100))^2))))</x:f>
        <x:v>3.4545997067039345</x:v>
      </x:c>
      <x:c r="F64" s="26" t="n">
        <x:f>(D64-E64)/E64</x:f>
        <x:v>-0.009760623169497424</x:v>
      </x:c>
    </x:row>
    <x:row r="65">
      <x:c r="A65" s="25" t="n">
        <x:v>5.5</x:v>
      </x:c>
      <x:c r="B65" s="25" t="n">
        <x:f>A65-($B$4+$B$6*100/2)</x:f>
        <x:v>-9.8</x:v>
      </x:c>
      <x:c r="C65" s="25" t="n">
        <x:v>104.97</x:v>
      </x:c>
      <x:c r="D65" s="25" t="n">
        <x:f>C65/$B$11</x:f>
        <x:v>3.4927520957157654</x:v>
      </x:c>
      <x:c r="E65" s="25" t="n">
        <x:f>1000*$B$8*$B$5*0.25/$B$6*((($B$6+2*(B65/100))/(2*SQRT($B$7^2+($B$6+2*(B65/100))^2)))+(($B$6-2*(B65/100))/(2*SQRT($B$7^2+($B$6-2*(B65/100))^2))))</x:f>
        <x:v>3.4979662171558776</x:v>
      </x:c>
      <x:c r="F65" s="26" t="n">
        <x:f>(D65-E65)/E65</x:f>
        <x:v>-0.0014906151507522942</x:v>
      </x:c>
    </x:row>
    <x:row r="66">
      <x:c r="A66" s="25" t="n">
        <x:v>6</x:v>
      </x:c>
      <x:c r="B66" s="25" t="n">
        <x:f>A66-($B$4+$B$6*100/2)</x:f>
        <x:v>-9.3</x:v>
      </x:c>
      <x:c r="C66" s="25" t="n">
        <x:v>106.34</x:v>
      </x:c>
      <x:c r="D66" s="25" t="n">
        <x:f>C66/$B$11</x:f>
        <x:v>3.5383372188093216</x:v>
      </x:c>
      <x:c r="E66" s="25" t="n">
        <x:f>1000*$B$8*$B$5*0.25/$B$6*((($B$6+2*(B66/100))/(2*SQRT($B$7^2+($B$6+2*(B66/100))^2)))+(($B$6-2*(B66/100))/(2*SQRT($B$7^2+($B$6-2*(B66/100))^2))))</x:f>
        <x:v>3.526730049067464</x:v>
      </x:c>
      <x:c r="F66" s="26" t="n">
        <x:f>(D66-E66)/E66</x:f>
        <x:v>0.0032911988103333186</x:v>
      </x:c>
    </x:row>
    <x:row r="67">
      <x:c r="A67" s="25" t="n">
        <x:v>7</x:v>
      </x:c>
      <x:c r="B67" s="25" t="n">
        <x:f>A67-($B$4+$B$6*100/2)</x:f>
        <x:v>-8.3</x:v>
      </x:c>
      <x:c r="C67" s="25" t="n">
        <x:v>108.48</x:v>
      </x:c>
      <x:c r="D67" s="25" t="n">
        <x:f>C67/$B$11</x:f>
        <x:v>3.609543177510205</x:v>
      </x:c>
      <x:c r="E67" s="25" t="n">
        <x:f>1000*$B$8*$B$5*0.25/$B$6*((($B$6+2*(B67/100))/(2*SQRT($B$7^2+($B$6+2*(B67/100))^2)))+(($B$6-2*(B67/100))/(2*SQRT($B$7^2+($B$6-2*(B67/100))^2))))</x:f>
        <x:v>3.560912762950971</x:v>
      </x:c>
      <x:c r="F67" s="26" t="n">
        <x:f>(D67-E67)/E67</x:f>
        <x:v>0.013656727304640178</x:v>
      </x:c>
    </x:row>
    <x:row r="68">
      <x:c r="A68" s="25" t="n">
        <x:v>8</x:v>
      </x:c>
      <x:c r="B68" s="25" t="n">
        <x:f>A68-($B$4+$B$6*100/2)</x:f>
        <x:v>-7.300000000000001</x:v>
      </x:c>
      <x:c r="C68" s="25" t="n">
        <x:v>109.68</x:v>
      </x:c>
      <x:c r="D68" s="25" t="n">
        <x:f>C68/$B$11</x:f>
        <x:v>3.6494717524826634</x:v>
      </x:c>
      <x:c r="E68" s="25" t="n">
        <x:f>1000*$B$8*$B$5*0.25/$B$6*((($B$6+2*(B68/100))/(2*SQRT($B$7^2+($B$6+2*(B68/100))^2)))+(($B$6-2*(B68/100))/(2*SQRT($B$7^2+($B$6-2*(B68/100))^2))))</x:f>
        <x:v>3.579417642596877</x:v>
      </x:c>
      <x:c r="F68" s="26" t="n">
        <x:f>(D68-E68)/E68</x:f>
        <x:v>0.019571370787277588</x:v>
      </x:c>
    </x:row>
    <x:row r="69">
      <x:c r="A69" s="25" t="n">
        <x:v>9</x:v>
      </x:c>
      <x:c r="B69" s="25" t="n">
        <x:f>A69-($B$4+$B$6*100/2)</x:f>
        <x:v>-6.300000000000001</x:v>
      </x:c>
      <x:c r="C69" s="25" t="n">
        <x:v>110.37</x:v>
      </x:c>
      <x:c r="D69" s="25" t="n">
        <x:f>C69/$B$11</x:f>
        <x:v>3.6724306830918265</x:v>
      </x:c>
      <x:c r="E69" s="25" t="n">
        <x:f>1000*$B$8*$B$5*0.25/$B$6*((($B$6+2*(B69/100))/(2*SQRT($B$7^2+($B$6+2*(B69/100))^2)))+(($B$6-2*(B69/100))/(2*SQRT($B$7^2+($B$6-2*(B69/100))^2))))</x:f>
        <x:v>3.5903820179278125</x:v>
      </x:c>
      <x:c r="F69" s="26" t="n">
        <x:f>(D69-E69)/E69</x:f>
        <x:v>0.02285234962583963</x:v>
      </x:c>
    </x:row>
    <x:row r="70">
      <x:c r="A70" s="25" t="n">
        <x:v>10</x:v>
      </x:c>
      <x:c r="B70" s="25" t="n">
        <x:f>A70-($B$4+$B$6*100/2)</x:f>
        <x:v>-5.300000000000001</x:v>
      </x:c>
      <x:c r="C70" s="25" t="n">
        <x:v>110.67</x:v>
      </x:c>
      <x:c r="D70" s="25" t="n">
        <x:f>C70/$B$11</x:f>
        <x:v>3.682412826834941</x:v>
      </x:c>
      <x:c r="E70" s="25" t="n">
        <x:f>1000*$B$8*$B$5*0.25/$B$6*((($B$6+2*(B70/100))/(2*SQRT($B$7^2+($B$6+2*(B70/100))^2)))+(($B$6-2*(B70/100))/(2*SQRT($B$7^2+($B$6-2*(B70/100))^2))))</x:f>
        <x:v>3.5972807299448957</x:v>
      </x:c>
      <x:c r="F70" s="26" t="n">
        <x:f>(D70-E70)/E70</x:f>
        <x:v>0.023665680629643162</x:v>
      </x:c>
    </x:row>
    <x:row r="71">
      <x:c r="A71" s="25" t="n">
        <x:v>11</x:v>
      </x:c>
      <x:c r="B71" s="25" t="n">
        <x:f>A71-($B$4+$B$6*100/2)</x:f>
        <x:v>-4.300000000000001</x:v>
      </x:c>
      <x:c r="C71" s="25" t="n">
        <x:v>110.91</x:v>
      </x:c>
      <x:c r="D71" s="25" t="n">
        <x:f>C71/$B$11</x:f>
        <x:v>3.6903985418294325</x:v>
      </x:c>
      <x:c r="E71" s="25" t="n">
        <x:f>1000*$B$8*$B$5*0.25/$B$6*((($B$6+2*(B71/100))/(2*SQRT($B$7^2+($B$6+2*(B71/100))^2)))+(($B$6-2*(B71/100))/(2*SQRT($B$7^2+($B$6-2*(B71/100))^2))))</x:f>
        <x:v>3.6017790019301503</x:v>
      </x:c>
      <x:c r="F71" s="26" t="n">
        <x:f>(D71-E71)/E71</x:f>
        <x:v>0.024604380183179484</x:v>
      </x:c>
    </x:row>
    <x:row r="72">
      <x:c r="A72" s="25" t="n">
        <x:v>12</x:v>
      </x:c>
      <x:c r="B72" s="25" t="n">
        <x:f>A72-($B$4+$B$6*100/2)</x:f>
        <x:v>-3.3000000000000007</x:v>
      </x:c>
      <x:c r="C72" s="25" t="n">
        <x:v>111.15</x:v>
      </x:c>
      <x:c r="D72" s="25" t="n">
        <x:f>C72/$B$11</x:f>
        <x:v>3.6983842568239242</x:v>
      </x:c>
      <x:c r="E72" s="25" t="n">
        <x:f>1000*$B$8*$B$5*0.25/$B$6*((($B$6+2*(B72/100))/(2*SQRT($B$7^2+($B$6+2*(B72/100))^2)))+(($B$6-2*(B72/100))/(2*SQRT($B$7^2+($B$6-2*(B72/100))^2))))</x:f>
        <x:v>3.6047441862291913</x:v>
      </x:c>
      <x:c r="F72" s="26" t="n">
        <x:f>(D72-E72)/E72</x:f>
        <x:v>0.025976897598574616</x:v>
      </x:c>
    </x:row>
    <x:row r="73">
      <x:c r="A73" s="25" t="n">
        <x:v>13</x:v>
      </x:c>
      <x:c r="B73" s="25" t="n">
        <x:f>A73-($B$4+$B$6*100/2)</x:f>
        <x:v>-2.3000000000000007</x:v>
      </x:c>
      <x:c r="C73" s="25" t="n">
        <x:v>111.35</x:v>
      </x:c>
      <x:c r="D73" s="25" t="n">
        <x:f>C73/$B$11</x:f>
        <x:v>3.7050390193193334</x:v>
      </x:c>
      <x:c r="E73" s="25" t="n">
        <x:f>1000*$B$8*$B$5*0.25/$B$6*((($B$6+2*(B73/100))/(2*SQRT($B$7^2+($B$6+2*(B73/100))^2)))+(($B$6-2*(B73/100))/(2*SQRT($B$7^2+($B$6-2*(B73/100))^2))))</x:f>
        <x:v>3.606653265406617</x:v>
      </x:c>
      <x:c r="F73" s="26" t="n">
        <x:f>(D73-E73)/E73</x:f>
        <x:v>0.027278961040249752</x:v>
      </x:c>
    </x:row>
    <x:row r="74">
      <x:c r="A74" s="25" t="n">
        <x:v>14</x:v>
      </x:c>
      <x:c r="B74" s="25" t="n">
        <x:f>A74-($B$4+$B$6*100/2)</x:f>
        <x:v>-1.3000000000000007</x:v>
      </x:c>
      <x:c r="C74" s="25" t="n">
        <x:v>111.55</x:v>
      </x:c>
      <x:c r="D74" s="25" t="n">
        <x:f>C74/$B$11</x:f>
        <x:v>3.7116937818147435</x:v>
      </x:c>
      <x:c r="E74" s="25" t="n">
        <x:f>1000*$B$8*$B$5*0.25/$B$6*((($B$6+2*(B74/100))/(2*SQRT($B$7^2+($B$6+2*(B74/100))^2)))+(($B$6-2*(B74/100))/(2*SQRT($B$7^2+($B$6-2*(B74/100))^2))))</x:f>
        <x:v>3.6077733493131876</x:v>
      </x:c>
      <x:c r="F74" s="26" t="n">
        <x:f>(D74-E74)/E74</x:f>
        <x:v>0.02880459010024542</x:v>
      </x:c>
    </x:row>
    <x:row r="75">
      <x:c r="A75" s="25" t="n">
        <x:v>15</x:v>
      </x:c>
      <x:c r="B75" s="25" t="n">
        <x:f>A75-($B$4+$B$6*100/2)</x:f>
        <x:v>-0.3000000000000007</x:v>
      </x:c>
      <x:c r="C75" s="25" t="n">
        <x:v>111.68</x:v>
      </x:c>
      <x:c r="D75" s="25" t="n">
        <x:f>C75/$B$11</x:f>
        <x:v>3.71601937743676</x:v>
      </x:c>
      <x:c r="E75" s="25" t="n">
        <x:f>1000*$B$8*$B$5*0.25/$B$6*((($B$6+2*(B75/100))/(2*SQRT($B$7^2+($B$6+2*(B75/100))^2)))+(($B$6-2*(B75/100))/(2*SQRT($B$7^2+($B$6-2*(B75/100))^2))))</x:f>
        <x:v>3.6082465372859667</x:v>
      </x:c>
      <x:c r="F75" s="26" t="n">
        <x:f>(D75-E75)/E75</x:f>
        <x:v>0.029868480170941198</x:v>
      </x:c>
    </x:row>
    <x:row r="76">
      <x:c r="A76" s="25" t="n">
        <x:v>16</x:v>
      </x:c>
      <x:c r="B76" s="25" t="n">
        <x:f>A76-($B$4+$B$6*100/2)</x:f>
        <x:v>0.6999999999999993</x:v>
      </x:c>
      <x:c r="C76" s="25" t="n">
        <x:v>111.6</x:v>
      </x:c>
      <x:c r="D76" s="25" t="n">
        <x:f>C76/$B$11</x:f>
        <x:v>3.7133574724385956</x:v>
      </x:c>
      <x:c r="E76" s="25" t="n">
        <x:f>1000*$B$8*$B$5*0.25/$B$6*((($B$6+2*(B76/100))/(2*SQRT($B$7^2+($B$6+2*(B76/100))^2)))+(($B$6-2*(B76/100))/(2*SQRT($B$7^2+($B$6-2*(B76/100))^2))))</x:f>
        <x:v>3.608129606610736</x:v>
      </x:c>
      <x:c r="F76" s="26" t="n">
        <x:f>(D76-E76)/E76</x:f>
        <x:v>0.029164103649454175</x:v>
      </x:c>
    </x:row>
    <x:row r="77">
      <x:c r="A77" s="25" t="n">
        <x:v>17</x:v>
      </x:c>
      <x:c r="B77" s="25" t="n">
        <x:f>A77-($B$4+$B$6*100/2)</x:f>
        <x:v>1.6999999999999993</x:v>
      </x:c>
      <x:c r="C77" s="25" t="n">
        <x:v>111.48</x:v>
      </x:c>
      <x:c r="D77" s="25" t="n">
        <x:f>C77/$B$11</x:f>
        <x:v>3.70936461494135</x:v>
      </x:c>
      <x:c r="E77" s="25" t="n">
        <x:f>1000*$B$8*$B$5*0.25/$B$6*((($B$6+2*(B77/100))/(2*SQRT($B$7^2+($B$6+2*(B77/100))^2)))+(($B$6-2*(B77/100))/(2*SQRT($B$7^2+($B$6-2*(B77/100))^2))))</x:f>
        <x:v>3.6074087068274423</x:v>
      </x:c>
      <x:c r="F77" s="26" t="n">
        <x:f>(D77-E77)/E77</x:f>
        <x:v>0.028262921226792075</x:v>
      </x:c>
    </x:row>
    <x:row r="78">
      <x:c r="A78" s="25" t="n">
        <x:v>18</x:v>
      </x:c>
      <x:c r="B78" s="25" t="n">
        <x:f>A78-($B$4+$B$6*100/2)</x:f>
        <x:v>2.6999999999999993</x:v>
      </x:c>
      <x:c r="C78" s="25" t="n">
        <x:v>111.25</x:v>
      </x:c>
      <x:c r="D78" s="25" t="n">
        <x:f>C78/$B$11</x:f>
        <x:v>3.701711638071629</x:v>
      </x:c>
      <x:c r="E78" s="25" t="n">
        <x:f>1000*$B$8*$B$5*0.25/$B$6*((($B$6+2*(B78/100))/(2*SQRT($B$7^2+($B$6+2*(B78/100))^2)))+(($B$6-2*(B78/100))/(2*SQRT($B$7^2+($B$6-2*(B78/100))^2))))</x:f>
        <x:v>3.6059958390866393</x:v>
      </x:c>
      <x:c r="F78" s="26" t="n">
        <x:f>(D78-E78)/E78</x:f>
        <x:v>0.026543513430462885</x:v>
      </x:c>
    </x:row>
    <x:row r="79">
      <x:c r="A79" s="25" t="n">
        <x:v>19</x:v>
      </x:c>
      <x:c r="B79" s="25" t="n">
        <x:f>A79-($B$4+$B$6*100/2)</x:f>
        <x:v>3.6999999999999993</x:v>
      </x:c>
      <x:c r="C79" s="25" t="n">
        <x:v>111.02</x:v>
      </x:c>
      <x:c r="D79" s="25" t="n">
        <x:f>C79/$B$11</x:f>
        <x:v>3.694058661201908</x:v>
      </x:c>
      <x:c r="E79" s="25" t="n">
        <x:f>1000*$B$8*$B$5*0.25/$B$6*((($B$6+2*(B79/100))/(2*SQRT($B$7^2+($B$6+2*(B79/100))^2)))+(($B$6-2*(B79/100))/(2*SQRT($B$7^2+($B$6-2*(B79/100))^2))))</x:f>
        <x:v>3.6037055341824202</x:v>
      </x:c>
      <x:c r="F79" s="26" t="n">
        <x:f>(D79-E79)/E79</x:f>
        <x:v>0.025072283559923636</x:v>
      </x:c>
    </x:row>
    <x:row r="80">
      <x:c r="A80" s="25" t="n">
        <x:v>20</x:v>
      </x:c>
      <x:c r="B80" s="25" t="n">
        <x:f>A80-($B$4+$B$6*100/2)</x:f>
        <x:v>4.699999999999999</x:v>
      </x:c>
      <x:c r="C80" s="25" t="n">
        <x:v>110.72</x:v>
      </x:c>
      <x:c r="D80" s="25" t="n">
        <x:f>C80/$B$11</x:f>
        <x:v>3.6840765174587933</x:v>
      </x:c>
      <x:c r="E80" s="25" t="n">
        <x:f>1000*$B$8*$B$5*0.25/$B$6*((($B$6+2*(B80/100))/(2*SQRT($B$7^2+($B$6+2*(B80/100))^2)))+(($B$6-2*(B80/100))/(2*SQRT($B$7^2+($B$6-2*(B80/100))^2))))</x:f>
        <x:v>3.600200633836004</x:v>
      </x:c>
      <x:c r="F80" s="26" t="n">
        <x:f>(D80-E80)/E80</x:f>
        <x:v>0.023297558151202134</x:v>
      </x:c>
    </x:row>
    <x:row r="81">
      <x:c r="A81" s="25" t="n">
        <x:v>21</x:v>
      </x:c>
      <x:c r="B81" s="25" t="n">
        <x:f>A81-($B$4+$B$6*100/2)</x:f>
        <x:v>5.699999999999999</x:v>
      </x:c>
      <x:c r="C81" s="25" t="n">
        <x:v>110.49</x:v>
      </x:c>
      <x:c r="D81" s="25" t="n">
        <x:f>C81/$B$11</x:f>
        <x:v>3.676423540589072</x:v>
      </x:c>
      <x:c r="E81" s="25" t="n">
        <x:f>1000*$B$8*$B$5*0.25/$B$6*((($B$6+2*(B81/100))/(2*SQRT($B$7^2+($B$6+2*(B81/100))^2)))+(($B$6-2*(B81/100))/(2*SQRT($B$7^2+($B$6-2*(B81/100))^2))))</x:f>
        <x:v>3.594878008613709</x:v>
      </x:c>
      <x:c r="F81" s="26" t="n">
        <x:f>(D81-E81)/E81</x:f>
        <x:v>0.022683810627223324</x:v>
      </x:c>
    </x:row>
    <x:row r="82">
      <x:c r="A82" s="25" t="n">
        <x:v>22</x:v>
      </x:c>
      <x:c r="B82" s="25" t="n">
        <x:f>A82-($B$4+$B$6*100/2)</x:f>
        <x:v>6.699999999999999</x:v>
      </x:c>
      <x:c r="C82" s="25" t="n">
        <x:v>109.94</x:v>
      </x:c>
      <x:c r="D82" s="25" t="n">
        <x:f>C82/$B$11</x:f>
        <x:v>3.6581229437266956</x:v>
      </x:c>
      <x:c r="E82" s="25" t="n">
        <x:f>1000*$B$8*$B$5*0.25/$B$6*((($B$6+2*(B82/100))/(2*SQRT($B$7^2+($B$6+2*(B82/100))^2)))+(($B$6-2*(B82/100))/(2*SQRT($B$7^2+($B$6-2*(B82/100))^2))))</x:f>
        <x:v>3.586620895208772</x:v>
      </x:c>
      <x:c r="F82" s="26" t="n">
        <x:f>(D82-E82)/E82</x:f>
        <x:v>0.019935769797538527</x:v>
      </x:c>
    </x:row>
    <x:row r="83">
      <x:c r="A83" s="25" t="n">
        <x:v>23</x:v>
      </x:c>
      <x:c r="B83" s="25" t="n">
        <x:f>A83-($B$4+$B$6*100/2)</x:f>
        <x:v>7.699999999999999</x:v>
      </x:c>
      <x:c r="C83" s="25" t="n">
        <x:v>109.08</x:v>
      </x:c>
      <x:c r="D83" s="25" t="n">
        <x:f>C83/$B$11</x:f>
        <x:v>3.629507464996434</x:v>
      </x:c>
      <x:c r="E83" s="25" t="n">
        <x:f>1000*$B$8*$B$5*0.25/$B$6*((($B$6+2*(B83/100))/(2*SQRT($B$7^2+($B$6+2*(B83/100))^2)))+(($B$6-2*(B83/100))/(2*SQRT($B$7^2+($B$6-2*(B83/100))^2))))</x:f>
        <x:v>3.57322027641728</x:v>
      </x:c>
      <x:c r="F83" s="26" t="n">
        <x:f>(D83-E83)/E83</x:f>
        <x:v>0.015752510123890572</x:v>
      </x:c>
    </x:row>
    <x:row r="84">
      <x:c r="A84" s="25" t="n">
        <x:v>24</x:v>
      </x:c>
      <x:c r="B84" s="25" t="n">
        <x:f>A84-($B$4+$B$6*100/2)</x:f>
        <x:v>8.7</x:v>
      </x:c>
      <x:c r="C84" s="25" t="n">
        <x:v>107.69</x:v>
      </x:c>
      <x:c r="D84" s="25" t="n">
        <x:f>C84/$B$11</x:f>
        <x:v>3.583256865653337</x:v>
      </x:c>
      <x:c r="E84" s="25" t="n">
        <x:f>1000*$B$8*$B$5*0.25/$B$6*((($B$6+2*(B84/100))/(2*SQRT($B$7^2+($B$6+2*(B84/100))^2)))+(($B$6-2*(B84/100))/(2*SQRT($B$7^2+($B$6-2*(B84/100))^2))))</x:f>
        <x:v>3.5498693593799433</x:v>
      </x:c>
      <x:c r="F84" s="26" t="n">
        <x:f>(D84-E84)/E84</x:f>
        <x:v>0.009405277460471253</x:v>
      </x:c>
    </x:row>
    <x:row r="85">
      <x:c r="A85" s="25" t="n">
        <x:v>24.5</x:v>
      </x:c>
      <x:c r="B85" s="25" t="n">
        <x:f>A85-($B$4+$B$6*100/2)</x:f>
        <x:v>9.2</x:v>
      </x:c>
      <x:c r="C85" s="25" t="n">
        <x:v>106.52</x:v>
      </x:c>
      <x:c r="D85" s="25" t="n">
        <x:f>C85/$B$11</x:f>
        <x:v>3.54432650505519</x:v>
      </x:c>
      <x:c r="E85" s="25" t="n">
        <x:f>1000*$B$8*$B$5*0.25/$B$6*((($B$6+2*(B85/100))/(2*SQRT($B$7^2+($B$6+2*(B85/100))^2)))+(($B$6-2*(B85/100))/(2*SQRT($B$7^2+($B$6-2*(B85/100))^2))))</x:f>
        <x:v>3.531290938980976</x:v>
      </x:c>
      <x:c r="F85" s="26" t="n">
        <x:f>(D85-E85)/E85</x:f>
        <x:v>0.003691444941655175</x:v>
      </x:c>
    </x:row>
    <x:row r="86">
      <x:c r="A86" s="25" t="n">
        <x:v>25</x:v>
      </x:c>
      <x:c r="B86" s="25" t="n">
        <x:f>A86-($B$4+$B$6*100/2)</x:f>
        <x:v>9.7</x:v>
      </x:c>
      <x:c r="C86" s="25" t="n">
        <x:v>104.81</x:v>
      </x:c>
      <x:c r="D86" s="25" t="n">
        <x:f>C86/$B$11</x:f>
        <x:v>3.487428285719438</x:v>
      </x:c>
      <x:c r="E86" s="25" t="n">
        <x:f>1000*$B$8*$B$5*0.25/$B$6*((($B$6+2*(B86/100))/(2*SQRT($B$7^2+($B$6+2*(B86/100))^2)))+(($B$6-2*(B86/100))/(2*SQRT($B$7^2+($B$6-2*(B86/100))^2))))</x:f>
        <x:v>3.5046521644300306</x:v>
      </x:c>
      <x:c r="F86" s="26" t="n">
        <x:f>(D86-E86)/E86</x:f>
        <x:v>-0.004914575798820788</x:v>
      </x:c>
    </x:row>
    <x:row r="87">
      <x:c r="A87" s="25" t="n">
        <x:v>25.5</x:v>
      </x:c>
      <x:c r="B87" s="25" t="n">
        <x:f>A87-($B$4+$B$6*100/2)</x:f>
        <x:v>10.2</x:v>
      </x:c>
      <x:c r="C87" s="25" t="n">
        <x:v>102.3</x:v>
      </x:c>
      <x:c r="D87" s="25" t="n">
        <x:f>C87/$B$11</x:f>
        <x:v>3.4039110164020463</x:v>
      </x:c>
      <x:c r="E87" s="25" t="n">
        <x:f>1000*$B$8*$B$5*0.25/$B$6*((($B$6+2*(B87/100))/(2*SQRT($B$7^2+($B$6+2*(B87/100))^2)))+(($B$6-2*(B87/100))/(2*SQRT($B$7^2+($B$6-2*(B87/100))^2))))</x:f>
        <x:v>3.464855671461187</x:v>
      </x:c>
      <x:c r="F87" s="26" t="n">
        <x:f>(D87-E87)/E87</x:f>
        <x:v>-0.01758937769359941</x:v>
      </x:c>
    </x:row>
    <x:row r="88">
      <x:c r="A88" s="25" t="n">
        <x:v>26</x:v>
      </x:c>
      <x:c r="B88" s="25" t="n">
        <x:f>A88-($B$4+$B$6*100/2)</x:f>
        <x:v>10.7</x:v>
      </x:c>
      <x:c r="C88" s="25" t="n">
        <x:v>99.01</x:v>
      </x:c>
      <x:c r="D88" s="25" t="n">
        <x:f>C88/$B$11</x:f>
        <x:v>3.2944401733525575</x:v>
      </x:c>
      <x:c r="E88" s="25" t="n">
        <x:f>1000*$B$8*$B$5*0.25/$B$6*((($B$6+2*(B88/100))/(2*SQRT($B$7^2+($B$6+2*(B88/100))^2)))+(($B$6-2*(B88/100))/(2*SQRT($B$7^2+($B$6-2*(B88/100))^2))))</x:f>
        <x:v>3.4024110220163744</x:v>
      </x:c>
      <x:c r="F88" s="26" t="n">
        <x:f>(D88-E88)/E88</x:f>
        <x:v>-0.03173362887821531</x:v>
      </x:c>
    </x:row>
    <x:row r="89">
      <x:c r="A89" s="25" t="n">
        <x:v>26.5</x:v>
      </x:c>
      <x:c r="B89" s="25" t="n">
        <x:f>A89-($B$4+$B$6*100/2)</x:f>
        <x:v>11.2</x:v>
      </x:c>
      <x:c r="C89" s="25" t="n">
        <x:v>93.65</x:v>
      </x:c>
      <x:c r="D89" s="25" t="n">
        <x:f>C89/$B$11</x:f>
        <x:v>3.1160925384755784</x:v>
      </x:c>
      <x:c r="E89" s="25" t="n">
        <x:f>1000*$B$8*$B$5*0.25/$B$6*((($B$6+2*(B89/100))/(2*SQRT($B$7^2+($B$6+2*(B89/100))^2)))+(($B$6-2*(B89/100))/(2*SQRT($B$7^2+($B$6-2*(B89/100))^2))))</x:f>
        <x:v>3.2987422806040207</x:v>
      </x:c>
      <x:c r="F89" s="26" t="n">
        <x:f>(D89-E89)/E89</x:f>
        <x:v>-0.055369509525611676</x:v>
      </x:c>
    </x:row>
    <x:row r="90">
      <x:c r="A90" s="25" t="n">
        <x:v>27</x:v>
      </x:c>
      <x:c r="B90" s="25" t="n">
        <x:f>A90-($B$4+$B$6*100/2)</x:f>
        <x:v>11.7</x:v>
      </x:c>
      <x:c r="C90" s="25" t="n">
        <x:v>85.31</x:v>
      </x:c>
      <x:c r="D90" s="25" t="n">
        <x:f>C90/$B$11</x:f>
        <x:v>2.8385889424169948</x:v>
      </x:c>
      <x:c r="E90" s="25" t="n">
        <x:f>1000*$B$8*$B$5*0.25/$B$6*((($B$6+2*(B90/100))/(2*SQRT($B$7^2+($B$6+2*(B90/100))^2)))+(($B$6-2*(B90/100))/(2*SQRT($B$7^2+($B$6-2*(B90/100))^2))))</x:f>
        <x:v>3.116619959470055</x:v>
      </x:c>
      <x:c r="F90" s="26" t="n">
        <x:f>(D90-E90)/E90</x:f>
        <x:v>-0.08920914987027682</x:v>
      </x:c>
    </x:row>
    <x:row r="91">
      <x:c r="A91" s="25" t="n">
        <x:v>27.5</x:v>
      </x:c>
      <x:c r="B91" s="25" t="n">
        <x:f>A91-($B$4+$B$6*100/2)</x:f>
        <x:v>12.2</x:v>
      </x:c>
      <x:c r="C91" s="25" t="n">
        <x:v>73.01</x:v>
      </x:c>
      <x:c r="D91" s="25" t="n">
        <x:f>C91/$B$11</x:f>
        <x:v>2.4293210489493005</x:v>
      </x:c>
      <x:c r="E91" s="25" t="n">
        <x:f>1000*$B$8*$B$5*0.25/$B$6*((($B$6+2*(B91/100))/(2*SQRT($B$7^2+($B$6+2*(B91/100))^2)))+(($B$6-2*(B91/100))/(2*SQRT($B$7^2+($B$6-2*(B91/100))^2))))</x:f>
        <x:v>2.787243460796902</x:v>
      </x:c>
      <x:c r="F91" s="26" t="n">
        <x:f>(D91-E91)/E91</x:f>
        <x:v>-0.12841447720008925</x:v>
      </x:c>
    </x:row>
    <x:row r="92">
      <x:c r="A92" s="25" t="n">
        <x:v>28</x:v>
      </x:c>
      <x:c r="B92" s="25" t="n">
        <x:f>A92-($B$4+$B$6*100/2)</x:f>
        <x:v>12.7</x:v>
      </x:c>
      <x:c r="C92" s="25" t="n">
        <x:v>58.2</x:v>
      </x:c>
      <x:c r="D92" s="25" t="n">
        <x:f>C92/$B$11</x:f>
        <x:v>1.9365358861642141</x:v>
      </x:c>
      <x:c r="E92" s="25" t="n">
        <x:f>1000*$B$8*$B$5*0.25/$B$6*((($B$6+2*(B92/100))/(2*SQRT($B$7^2+($B$6+2*(B92/100))^2)))+(($B$6-2*(B92/100))/(2*SQRT($B$7^2+($B$6-2*(B92/100))^2))))</x:f>
        <x:v>2.233295771699429</x:v>
      </x:c>
      <x:c r="F92" s="26" t="n">
        <x:f>(D92-E92)/E92</x:f>
        <x:v>-0.1328797955451261</x:v>
      </x:c>
    </x:row>
    <x:row r="93">
      <x:c r="A93" s="25" t="n">
        <x:v>28.5</x:v>
      </x:c>
      <x:c r="B93" s="25" t="n">
        <x:f>A93-($B$4+$B$6*100/2)</x:f>
        <x:v>13.2</x:v>
      </x:c>
      <x:c r="C93" s="25" t="n">
        <x:v>42.7</x:v>
      </x:c>
      <x:c r="D93" s="25" t="n">
        <x:f>C93/$B$11</x:f>
        <x:v>1.4207917927699647</x:v>
      </x:c>
      <x:c r="E93" s="25" t="n">
        <x:f>1000*$B$8*$B$5*0.25/$B$6*((($B$6+2*(B93/100))/(2*SQRT($B$7^2+($B$6+2*(B93/100))^2)))+(($B$6-2*(B93/100))/(2*SQRT($B$7^2+($B$6-2*(B93/100))^2))))</x:f>
        <x:v>1.524046986930106</x:v>
      </x:c>
      <x:c r="F93" s="26" t="n">
        <x:f>(D93-E93)/E93</x:f>
        <x:v>-0.06775066323127527</x:v>
      </x:c>
    </x:row>
    <x:row r="94">
      <x:c r="A94" s="25" t="n">
        <x:v>29</x:v>
      </x:c>
      <x:c r="B94" s="25" t="n">
        <x:f>A94-($B$4+$B$6*100/2)</x:f>
        <x:v>13.7</x:v>
      </x:c>
      <x:c r="C94" s="25" t="n">
        <x:v>31.15</x:v>
      </x:c>
      <x:c r="D94" s="25" t="n">
        <x:f>C94/$B$11</x:f>
        <x:v>1.036479258660056</x:v>
      </x:c>
      <x:c r="E94" s="25" t="n">
        <x:f>1000*$B$8*$B$5*0.25/$B$6*((($B$6+2*(B94/100))/(2*SQRT($B$7^2+($B$6+2*(B94/100))^2)))+(($B$6-2*(B94/100))/(2*SQRT($B$7^2+($B$6-2*(B94/100))^2))))</x:f>
        <x:v>0.924901560063204</x:v>
      </x:c>
      <x:c r="F94" s="26" t="n">
        <x:f>(D94-E94)/E94</x:f>
        <x:v>0.12063737744071618</x:v>
      </x:c>
    </x:row>
    <x:row r="95">
      <x:c r="A95" s="25" t="n">
        <x:v>29.5</x:v>
      </x:c>
      <x:c r="B95" s="25" t="n">
        <x:f>A95-($B$4+$B$6*100/2)</x:f>
        <x:v>14.2</x:v>
      </x:c>
      <x:c r="C95" s="25" t="n">
        <x:v>21.26</x:v>
      </x:c>
      <x:c r="D95" s="25" t="n">
        <x:f>C95/$B$11</x:f>
        <x:v>0.707401253262048</x:v>
      </x:c>
      <x:c r="E95" s="25" t="n">
        <x:f>1000*$B$8*$B$5*0.25/$B$6*((($B$6+2*(B95/100))/(2*SQRT($B$7^2+($B$6+2*(B95/100))^2)))+(($B$6-2*(B95/100))/(2*SQRT($B$7^2+($B$6-2*(B95/100))^2))))</x:f>
        <x:v>0.5553620554112186</x:v>
      </x:c>
      <x:c r="F95" s="26" t="n">
        <x:f>(D95-E95)/E95</x:f>
        <x:v>0.27376590886867785</x:v>
      </x:c>
    </x:row>
    <x:row r="96">
      <x:c r="A96" s="25" t="n">
        <x:v>30</x:v>
      </x:c>
      <x:c r="B96" s="25" t="n">
        <x:f>A96-($B$4+$B$6*100/2)</x:f>
        <x:v>14.7</x:v>
      </x:c>
      <x:c r="C96" s="25" t="n">
        <x:v>14.69</x:v>
      </x:c>
      <x:c r="D96" s="25" t="n">
        <x:f>C96/$B$11</x:f>
        <x:v>0.48879230528784023</x:v>
      </x:c>
      <x:c r="E96" s="25" t="n">
        <x:f>1000*$B$8*$B$5*0.25/$B$6*((($B$6+2*(B96/100))/(2*SQRT($B$7^2+($B$6+2*(B96/100))^2)))+(($B$6-2*(B96/100))/(2*SQRT($B$7^2+($B$6-2*(B96/100))^2))))</x:f>
        <x:v>0.35040662166548225</x:v>
      </x:c>
      <x:c r="F96" s="26" t="n">
        <x:f>(D96-E96)/E96</x:f>
        <x:v>0.39492884856059796</x:v>
      </x:c>
    </x:row>
    <x:row r="100">
      <x:c r="A100" s="24" t="str">
        <x:v>处理说明</x:v>
      </x:c>
    </x:row>
    <x:row r="101">
      <x:c r="A101" s="24" t="str">
        <x:v>1. 实验一按原始数据直接计算，未修改原始测量值。</x:v>
      </x:c>
    </x:row>
    <x:row r="102">
      <x:c r="A102" s="24" t="str">
        <x:v>2. 实验二使用中心磁场理论值 B(Im) 与 U'=U-U0 做线性拟合，斜率即 K。</x:v>
      </x:c>
    </x:row>
    <x:row r="103">
      <x:c r="A103" s="24" t="str">
        <x:v>3. 实验三用实验二拟合 K 将 U' 换算为 B实验，并用螺线管有限长理论公式计算 B理论。</x:v>
      </x:c>
    </x:row>
    <x:row r="104">
      <x:c r="A104" s="24" t="str">
        <x:v>4. 原始刻度 X 已按 Δx=2.3 cm、L/2=13 cm 换算为以螺线管中心为零点的坐标。</x:v>
      </x:c>
    </x:row>
  </x:sheetData>
  <x:mergeCells>
    <x:mergeCell ref="A1:H1"/>
    <x:mergeCell ref="A18:G18"/>
    <x:mergeCell ref="A37:E37"/>
    <x:mergeCell ref="A52:F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</x:cols>
  <x:sheetData>
    <x:row r="1">
      <x:c r="A1" s="27" t="str">
        <x:v>实验一_K随Us</x:v>
      </x:c>
      <x:c r="B1" s="27"/>
      <x:c r="C1" s="27"/>
      <x:c r="D1" s="27" t="str">
        <x:v>实验一_K除以Us</x:v>
      </x:c>
      <x:c r="E1" s="27"/>
    </x:row>
    <x:row r="2">
      <x:c r="A2" s="21" t="str">
        <x:v>Us/V</x:v>
      </x:c>
      <x:c r="B2" s="21" t="str">
        <x:v>K/(V/T)</x:v>
      </x:c>
      <x:c r="D2" s="21" t="str">
        <x:v>Us/V</x:v>
      </x:c>
      <x:c r="E2" s="21" t="str">
        <x:v>K/Us</x:v>
      </x:c>
    </x:row>
    <x:row r="3">
      <x:c r="A3" s="22" t="n">
        <x:f>'数据处理'!A20</x:f>
        <x:v>2.5</x:v>
      </x:c>
      <x:c r="B3" s="22" t="n">
        <x:f>'数据处理'!F20</x:f>
        <x:v>1.6628454833807043</x:v>
      </x:c>
      <x:c r="D3" s="22" t="n">
        <x:f>'数据处理'!A20</x:f>
        <x:v>2.5</x:v>
      </x:c>
      <x:c r="E3" s="22" t="n">
        <x:f>'数据处理'!G20</x:f>
        <x:v>0.6651381933522817</x:v>
      </x:c>
    </x:row>
    <x:row r="4">
      <x:c r="A4" s="22" t="n">
        <x:f>'数据处理'!A21</x:f>
        <x:v>3</x:v>
      </x:c>
      <x:c r="B4" s="22" t="n">
        <x:f>'数据处理'!F21</x:f>
        <x:v>14.43904161402191</x:v>
      </x:c>
      <x:c r="D4" s="22" t="n">
        <x:f>'数据处理'!A21</x:f>
        <x:v>3</x:v>
      </x:c>
      <x:c r="E4" s="22" t="n">
        <x:f>'数据处理'!G21</x:f>
        <x:v>4.813013871340637</x:v>
      </x:c>
    </x:row>
    <x:row r="5">
      <x:c r="A5" s="22" t="n">
        <x:f>'数据处理'!A22</x:f>
        <x:v>3.5</x:v>
      </x:c>
      <x:c r="B5" s="22" t="n">
        <x:f>'数据处理'!F22</x:f>
        <x:v>23.085838127601278</x:v>
      </x:c>
      <x:c r="D5" s="22" t="n">
        <x:f>'数据处理'!A22</x:f>
        <x:v>3.5</x:v>
      </x:c>
      <x:c r="E5" s="22" t="n">
        <x:f>'数据处理'!G22</x:f>
        <x:v>6.595953750743222</x:v>
      </x:c>
    </x:row>
    <x:row r="6">
      <x:c r="A6" s="22" t="n">
        <x:f>'数据处理'!A23</x:f>
        <x:v>4</x:v>
      </x:c>
      <x:c r="B6" s="22" t="n">
        <x:f>'数据处理'!F23</x:f>
        <x:v>26.633241825479956</x:v>
      </x:c>
      <x:c r="D6" s="22" t="n">
        <x:f>'数据处理'!A23</x:f>
        <x:v>4</x:v>
      </x:c>
      <x:c r="E6" s="22" t="n">
        <x:f>'数据处理'!G23</x:f>
        <x:v>6.658310456369989</x:v>
      </x:c>
    </x:row>
    <x:row r="7">
      <x:c r="A7" s="22" t="n">
        <x:f>'数据处理'!A24</x:f>
        <x:v>4.5</x:v>
      </x:c>
      <x:c r="B7" s="22" t="n">
        <x:f>'数据处理'!F24</x:f>
        <x:v>30.485500528645055</x:v>
      </x:c>
      <x:c r="D7" s="22" t="n">
        <x:f>'数据处理'!A24</x:f>
        <x:v>4.5</x:v>
      </x:c>
      <x:c r="E7" s="22" t="n">
        <x:f>'数据处理'!G24</x:f>
        <x:v>6.774555673032235</x:v>
      </x:c>
    </x:row>
    <x:row r="8">
      <x:c r="A8" s="22" t="n">
        <x:f>'数据处理'!A25</x:f>
        <x:v>5</x:v>
      </x:c>
      <x:c r="B8" s="22" t="n">
        <x:f>'数据处理'!F25</x:f>
        <x:v>32.97976875371599</x:v>
      </x:c>
      <x:c r="D8" s="22" t="n">
        <x:f>'数据处理'!A25</x:f>
        <x:v>5</x:v>
      </x:c>
      <x:c r="E8" s="22" t="n">
        <x:f>'数据处理'!G25</x:f>
        <x:v>6.595953750743197</x:v>
      </x:c>
    </x:row>
    <x:row r="9">
      <x:c r="A9" s="22" t="n">
        <x:f>'数据处理'!A26</x:f>
        <x:v>5.5</x:v>
      </x:c>
      <x:c r="B9" s="22" t="n">
        <x:f>'数据处理'!F26</x:f>
        <x:v>36.58260063437414</x:v>
      </x:c>
      <x:c r="D9" s="22" t="n">
        <x:f>'数据处理'!A26</x:f>
        <x:v>5.5</x:v>
      </x:c>
      <x:c r="E9" s="22" t="n">
        <x:f>'数据处理'!G26</x:f>
        <x:v>6.651381933522571</x:v>
      </x:c>
    </x:row>
    <x:row r="10">
      <x:c r="A10" s="22" t="n">
        <x:f>'数据处理'!A27</x:f>
        <x:v>6</x:v>
      </x:c>
      <x:c r="B10" s="22" t="n">
        <x:f>'数据处理'!F27</x:f>
        <x:v>40.73971434282578</x:v>
      </x:c>
      <x:c r="D10" s="22" t="n">
        <x:f>'数据处理'!A27</x:f>
        <x:v>6</x:v>
      </x:c>
      <x:c r="E10" s="22" t="n">
        <x:f>'数据处理'!G27</x:f>
        <x:v>6.789952390470963</x:v>
      </x:c>
    </x:row>
    <x:row r="11">
      <x:c r="A11" s="22" t="n">
        <x:f>'数据处理'!A28</x:f>
        <x:v>6.5</x:v>
      </x:c>
      <x:c r="B11" s="22" t="n">
        <x:f>'数据处理'!F28</x:f>
        <x:v>44.06540530958694</x:v>
      </x:c>
      <x:c r="D11" s="22" t="n">
        <x:f>'数据处理'!A28</x:f>
        <x:v>6.5</x:v>
      </x:c>
      <x:c r="E11" s="22" t="n">
        <x:f>'数据处理'!G28</x:f>
        <x:v>6.779293124551837</x:v>
      </x:c>
    </x:row>
    <x:row r="12">
      <x:c r="A12" s="22" t="n">
        <x:f>'数据处理'!A29</x:f>
        <x:v>7</x:v>
      </x:c>
      <x:c r="B12" s="22" t="n">
        <x:f>'数据处理'!F29</x:f>
        <x:v>46.28253262076113</x:v>
      </x:c>
      <x:c r="D12" s="22" t="n">
        <x:f>'数据处理'!A29</x:f>
        <x:v>7</x:v>
      </x:c>
      <x:c r="E12" s="22" t="n">
        <x:f>'数据处理'!G29</x:f>
        <x:v>6.611790374394447</x:v>
      </x:c>
    </x:row>
    <x:row r="13">
      <x:c r="A13" s="22" t="n">
        <x:f>'数据处理'!A30</x:f>
        <x:v>7.5</x:v>
      </x:c>
      <x:c r="B13" s="22" t="n">
        <x:f>'数据处理'!F30</x:f>
        <x:v>50.716787243109636</x:v>
      </x:c>
      <x:c r="D13" s="22" t="n">
        <x:f>'数据处理'!A30</x:f>
        <x:v>7.5</x:v>
      </x:c>
      <x:c r="E13" s="22" t="n">
        <x:f>'数据处理'!G30</x:f>
        <x:v>6.762238299081285</x:v>
      </x:c>
    </x:row>
    <x:row r="14">
      <x:c r="A14" s="22" t="n">
        <x:f>'数据处理'!A31</x:f>
        <x:v>8</x:v>
      </x:c>
      <x:c r="B14" s="22" t="n">
        <x:f>'数据处理'!F31</x:f>
        <x:v>51.271069070903245</x:v>
      </x:c>
      <x:c r="D14" s="22" t="n">
        <x:f>'数据处理'!A31</x:f>
        <x:v>8</x:v>
      </x:c>
      <x:c r="E14" s="22" t="n">
        <x:f>'数据处理'!G31</x:f>
        <x:v>6.408883633862906</x:v>
      </x:c>
    </x:row>
    <x:row r="15">
      <x:c r="A15" s="22" t="n">
        <x:f>'数据处理'!A32</x:f>
        <x:v>8.5</x:v>
      </x:c>
      <x:c r="B15" s="22" t="n">
        <x:f>'数据处理'!F32</x:f>
        <x:v>53.21105546818057</x:v>
      </x:c>
      <x:c r="D15" s="22" t="n">
        <x:f>'数据处理'!A32</x:f>
        <x:v>8.5</x:v>
      </x:c>
      <x:c r="E15" s="22" t="n">
        <x:f>'数据处理'!G32</x:f>
        <x:v>6.260124172727125</x:v>
      </x:c>
    </x:row>
    <x:row r="16">
      <x:c r="A16" s="22" t="n">
        <x:f>'数据处理'!A33</x:f>
        <x:v>9</x:v>
      </x:c>
      <x:c r="B16" s="22" t="n">
        <x:f>'数据处理'!F33</x:f>
        <x:v>57.92245100442582</x:v>
      </x:c>
      <x:c r="D16" s="22" t="n">
        <x:f>'数据处理'!A33</x:f>
        <x:v>9</x:v>
      </x:c>
      <x:c r="E16" s="22" t="n">
        <x:f>'数据处理'!G33</x:f>
        <x:v>6.435827889380646</x:v>
      </x:c>
    </x:row>
    <x:row r="17">
      <x:c r="A17" s="22" t="n">
        <x:f>'数据处理'!A34</x:f>
        <x:v>9.5</x:v>
      </x:c>
      <x:c r="B17" s="22" t="n">
        <x:f>'数据处理'!F34</x:f>
        <x:v>59.58529648780627</x:v>
      </x:c>
      <x:c r="D17" s="22" t="n">
        <x:f>'数据处理'!A34</x:f>
        <x:v>9.5</x:v>
      </x:c>
      <x:c r="E17" s="22" t="n">
        <x:f>'数据处理'!G34</x:f>
        <x:v>6.27213647240066</x:v>
      </x:c>
    </x:row>
    <x:row r="21">
      <x:c r="A21" t="str">
        <x:v>实验二_线性拟合</x:v>
      </x:c>
    </x:row>
    <x:row r="22">
      <x:c r="A22" s="21" t="str">
        <x:v>B/mT</x:v>
      </x:c>
      <x:c r="B22" s="21" t="str">
        <x:v>U'/mV</x:v>
      </x:c>
      <x:c r="C22" s="21" t="str">
        <x:v>拟合U'/mV</x:v>
      </x:c>
    </x:row>
    <x:row r="23">
      <x:c r="A23" s="22" t="n">
        <x:f>'数据处理'!C39</x:f>
        <x:v>0</x:v>
      </x:c>
      <x:c r="B23" s="22" t="n">
        <x:f>'数据处理'!B39</x:f>
        <x:v>-0.01</x:v>
      </x:c>
      <x:c r="C23" s="22" t="n">
        <x:f>'数据处理'!D39</x:f>
        <x:v>3.478363636363653</x:v>
      </x:c>
    </x:row>
    <x:row r="24">
      <x:c r="A24" s="22" t="n">
        <x:f>'数据处理'!C40</x:f>
        <x:v>0.721654544570398</x:v>
      </x:c>
      <x:c r="B24" s="22" t="n">
        <x:f>'数据处理'!B40</x:f>
        <x:v>26.98</x:v>
      </x:c>
      <x:c r="C24" s="22" t="n">
        <x:f>'数据处理'!D40</x:f>
        <x:v>25.166727272727286</x:v>
      </x:c>
    </x:row>
    <x:row r="25">
      <x:c r="A25" s="22" t="n">
        <x:f>'数据处理'!C41</x:f>
        <x:v>1.443309089140796</x:v>
      </x:c>
      <x:c r="B25" s="22" t="n">
        <x:f>'数据处理'!B41</x:f>
        <x:v>48.1</x:v>
      </x:c>
      <x:c r="C25" s="22" t="n">
        <x:f>'数据处理'!D41</x:f>
        <x:v>46.85509090909092</x:v>
      </x:c>
    </x:row>
    <x:row r="26">
      <x:c r="A26" s="22" t="n">
        <x:f>'数据处理'!C42</x:f>
        <x:v>2.164963633711194</x:v>
      </x:c>
      <x:c r="B26" s="22" t="n">
        <x:f>'数据处理'!B42</x:f>
        <x:v>68.78</x:v>
      </x:c>
      <x:c r="C26" s="22" t="n">
        <x:f>'数据处理'!D42</x:f>
        <x:v>68.54345454545455</x:v>
      </x:c>
    </x:row>
    <x:row r="27">
      <x:c r="A27" s="22" t="n">
        <x:f>'数据处理'!C43</x:f>
        <x:v>2.886618178281592</x:v>
      </x:c>
      <x:c r="B27" s="22" t="n">
        <x:f>'数据处理'!B43</x:f>
        <x:v>92.02</x:v>
      </x:c>
      <x:c r="C27" s="22" t="n">
        <x:f>'数据处理'!D43</x:f>
        <x:v>90.23181818181818</x:v>
      </x:c>
    </x:row>
    <x:row r="28">
      <x:c r="A28" s="22" t="n">
        <x:f>'数据处理'!C44</x:f>
        <x:v>3.60827272285199</x:v>
      </x:c>
      <x:c r="B28" s="22" t="n">
        <x:f>'数据处理'!B44</x:f>
        <x:v>112.1</x:v>
      </x:c>
      <x:c r="C28" s="22" t="n">
        <x:f>'数据处理'!D44</x:f>
        <x:v>111.92018181818183</x:v>
      </x:c>
    </x:row>
    <x:row r="29">
      <x:c r="A29" s="22" t="n">
        <x:f>'数据处理'!C45</x:f>
        <x:v>4.329927267422388</x:v>
      </x:c>
      <x:c r="B29" s="22" t="n">
        <x:f>'数据处理'!B45</x:f>
        <x:v>133.16</x:v>
      </x:c>
      <x:c r="C29" s="22" t="n">
        <x:f>'数据处理'!D45</x:f>
        <x:v>133.60854545454544</x:v>
      </x:c>
    </x:row>
    <x:row r="30">
      <x:c r="A30" s="22" t="n">
        <x:f>'数据处理'!C46</x:f>
        <x:v>5.0515818119927856</x:v>
      </x:c>
      <x:c r="B30" s="22" t="n">
        <x:f>'数据处理'!B46</x:f>
        <x:v>154.51</x:v>
      </x:c>
      <x:c r="C30" s="22" t="n">
        <x:f>'数据处理'!D46</x:f>
        <x:v>155.29690909090908</x:v>
      </x:c>
    </x:row>
    <x:row r="31">
      <x:c r="A31" s="22" t="n">
        <x:f>'数据处理'!C47</x:f>
        <x:v>5.773236356563184</x:v>
      </x:c>
      <x:c r="B31" s="22" t="n">
        <x:f>'数据处理'!B47</x:f>
        <x:v>177</x:v>
      </x:c>
      <x:c r="C31" s="22" t="n">
        <x:f>'数据处理'!D47</x:f>
        <x:v>176.98527272727273</x:v>
      </x:c>
    </x:row>
    <x:row r="32">
      <x:c r="A32" s="22" t="n">
        <x:f>'数据处理'!C48</x:f>
        <x:v>6.494890901133582</x:v>
      </x:c>
      <x:c r="B32" s="22" t="n">
        <x:f>'数据处理'!B48</x:f>
        <x:v>198.12</x:v>
      </x:c>
      <x:c r="C32" s="22" t="n">
        <x:f>'数据处理'!D48</x:f>
        <x:v>198.67363636363632</x:v>
      </x:c>
    </x:row>
    <x:row r="37">
      <x:c r="A37" t="str">
        <x:v>实验三_Bx分布</x:v>
      </x:c>
    </x:row>
    <x:row r="38">
      <x:c r="A38" s="21" t="str">
        <x:v>x/cm</x:v>
      </x:c>
      <x:c r="B38" s="21" t="str">
        <x:v>B实验/mT</x:v>
      </x:c>
      <x:c r="C38" s="21" t="str">
        <x:v>B理论/mT</x:v>
      </x:c>
    </x:row>
    <x:row r="39">
      <x:c r="A39" s="22" t="n">
        <x:f>'数据处理'!B54</x:f>
        <x:v>-15.3</x:v>
      </x:c>
      <x:c r="B39" s="22" t="n">
        <x:f>'数据处理'!D54</x:f>
        <x:v>0.3949601541025639</x:v>
      </x:c>
      <x:c r="C39" s="22" t="n">
        <x:f>'数据处理'!E54</x:f>
        <x:v>0.21822246554724242</x:v>
      </x:c>
    </x:row>
    <x:row r="40">
      <x:c r="A40" s="22" t="n">
        <x:f>'数据处理'!B55</x:f>
        <x:v>-14.8</x:v>
      </x:c>
      <x:c r="B40" s="22" t="n">
        <x:f>'数据处理'!D55</x:f>
        <x:v>0.5440268339997406</x:v>
      </x:c>
      <x:c r="C40" s="22" t="n">
        <x:f>'数据处理'!E55</x:f>
        <x:v>0.32192990289051565</x:v>
      </x:c>
    </x:row>
    <x:row r="41">
      <x:c r="A41" s="22" t="n">
        <x:f>'数据处理'!B56</x:f>
        <x:v>-14.3</x:v>
      </x:c>
      <x:c r="B41" s="22" t="n">
        <x:f>'数据处理'!D56</x:f>
        <x:v>0.7769435213390791</x:v>
      </x:c>
      <x:c r="C41" s="22" t="n">
        <x:f>'数据处理'!E56</x:f>
        <x:v>0.5040812238603534</x:v>
      </x:c>
    </x:row>
    <x:row r="42">
      <x:c r="A42" s="22" t="n">
        <x:f>'数据处理'!B57</x:f>
        <x:v>-13.8</x:v>
      </x:c>
      <x:c r="B42" s="22" t="n">
        <x:f>'数据处理'!D57</x:f>
        <x:v>1.140293553588447</x:v>
      </x:c>
      <x:c r="C42" s="22" t="n">
        <x:f>'数据处理'!E57</x:f>
        <x:v>0.8334772425316294</x:v>
      </x:c>
    </x:row>
    <x:row r="43">
      <x:c r="A43" s="22" t="n">
        <x:f>'数据处理'!B58</x:f>
        <x:v>-13.3</x:v>
      </x:c>
      <x:c r="B43" s="22" t="n">
        <x:f>'数据处理'!D58</x:f>
        <x:v>1.6111180001386811</x:v>
      </x:c>
      <x:c r="C43" s="22" t="n">
        <x:f>'数据处理'!E58</x:f>
        <x:v>1.3874351163407184</x:v>
      </x:c>
    </x:row>
    <x:row r="44">
      <x:c r="A44" s="22" t="n">
        <x:f>'数据处理'!B59</x:f>
        <x:v>-12.8</x:v>
      </x:c>
      <x:c r="B44" s="22" t="n">
        <x:f>'数据处理'!D59</x:f>
        <x:v>2.1771055503732737</x:v>
      </x:c>
      <x:c r="C44" s="22" t="n">
        <x:f>'数据处理'!E59</x:f>
        <x:v>2.096684825632222</x:v>
      </x:c>
    </x:row>
    <x:row r="45">
      <x:c r="A45" s="22" t="n">
        <x:f>'数据处理'!B60</x:f>
        <x:v>-12.3</x:v>
      </x:c>
      <x:c r="B45" s="22" t="n">
        <x:f>'数据处理'!D60</x:f>
        <x:v>2.5887026107143614</x:v>
      </x:c>
      <x:c r="C45" s="22" t="n">
        <x:f>'数据处理'!E60</x:f>
        <x:v>2.695821923637855</x:v>
      </x:c>
    </x:row>
    <x:row r="46">
      <x:c r="A46" s="22" t="n">
        <x:f>'数据处理'!B61</x:f>
        <x:v>-11.8</x:v>
      </x:c>
      <x:c r="B46" s="22" t="n">
        <x:f>'数据处理'!D61</x:f>
        <x:v>2.9307574029784185</x:v>
      </x:c>
      <x:c r="C46" s="22" t="n">
        <x:f>'数据处理'!E61</x:f>
        <x:v>3.0653437846651923</x:v>
      </x:c>
    </x:row>
    <x:row r="47">
      <x:c r="A47" s="22" t="n">
        <x:f>'数据处理'!B62</x:f>
        <x:v>-11.3</x:v>
      </x:c>
      <x:c r="B47" s="22" t="n">
        <x:f>'数据处理'!D62</x:f>
        <x:v>3.1523609940755604</x:v>
      </x:c>
      <x:c r="C47" s="22" t="n">
        <x:f>'数据处理'!E62</x:f>
        <x:v>3.27027212950713</x:v>
      </x:c>
    </x:row>
    <x:row r="48">
      <x:c r="A48" s="22" t="n">
        <x:f>'数据处理'!B63</x:f>
        <x:v>-10.8</x:v>
      </x:c>
      <x:c r="B48" s="22" t="n">
        <x:f>'数据处理'!D63</x:f>
        <x:v>3.3157354133378685</x:v>
      </x:c>
      <x:c r="C48" s="22" t="n">
        <x:f>'数据处理'!E63</x:f>
        <x:v>3.3858155524214926</x:v>
      </x:c>
    </x:row>
    <x:row r="49">
      <x:c r="A49" s="22" t="n">
        <x:f>'数据处理'!B64</x:f>
        <x:v>-10.3</x:v>
      </x:c>
      <x:c r="B49" s="22" t="n">
        <x:f>'数据处理'!D64</x:f>
        <x:v>3.420880660765341</x:v>
      </x:c>
      <x:c r="C49" s="22" t="n">
        <x:f>'数据处理'!E64</x:f>
        <x:v>3.4545997067039345</x:v>
      </x:c>
    </x:row>
    <x:row r="50">
      <x:c r="A50" s="22" t="n">
        <x:f>'数据处理'!B65</x:f>
        <x:v>-9.8</x:v>
      </x:c>
      <x:c r="B50" s="22" t="n">
        <x:f>'数据处理'!D65</x:f>
        <x:v>3.4927520957157654</x:v>
      </x:c>
      <x:c r="C50" s="22" t="n">
        <x:f>'数据处理'!E65</x:f>
        <x:v>3.4979662171558776</x:v>
      </x:c>
    </x:row>
    <x:row r="51">
      <x:c r="A51" s="22" t="n">
        <x:f>'数据处理'!B66</x:f>
        <x:v>-9.3</x:v>
      </x:c>
      <x:c r="B51" s="22" t="n">
        <x:f>'数据处理'!D66</x:f>
        <x:v>3.5383372188093216</x:v>
      </x:c>
      <x:c r="C51" s="22" t="n">
        <x:f>'数据处理'!E66</x:f>
        <x:v>3.526730049067464</x:v>
      </x:c>
    </x:row>
    <x:row r="52">
      <x:c r="A52" s="22" t="n">
        <x:f>'数据处理'!B67</x:f>
        <x:v>-8.3</x:v>
      </x:c>
      <x:c r="B52" s="22" t="n">
        <x:f>'数据处理'!D67</x:f>
        <x:v>3.609543177510205</x:v>
      </x:c>
      <x:c r="C52" s="22" t="n">
        <x:f>'数据处理'!E67</x:f>
        <x:v>3.560912762950971</x:v>
      </x:c>
    </x:row>
    <x:row r="53">
      <x:c r="A53" s="22" t="n">
        <x:f>'数据处理'!B68</x:f>
        <x:v>-7.300000000000001</x:v>
      </x:c>
      <x:c r="B53" s="22" t="n">
        <x:f>'数据处理'!D68</x:f>
        <x:v>3.6494717524826634</x:v>
      </x:c>
      <x:c r="C53" s="22" t="n">
        <x:f>'数据处理'!E68</x:f>
        <x:v>3.579417642596877</x:v>
      </x:c>
    </x:row>
    <x:row r="54">
      <x:c r="A54" s="22" t="n">
        <x:f>'数据处理'!B69</x:f>
        <x:v>-6.300000000000001</x:v>
      </x:c>
      <x:c r="B54" s="22" t="n">
        <x:f>'数据处理'!D69</x:f>
        <x:v>3.6724306830918265</x:v>
      </x:c>
      <x:c r="C54" s="22" t="n">
        <x:f>'数据处理'!E69</x:f>
        <x:v>3.5903820179278125</x:v>
      </x:c>
    </x:row>
    <x:row r="55">
      <x:c r="A55" s="22" t="n">
        <x:f>'数据处理'!B70</x:f>
        <x:v>-5.300000000000001</x:v>
      </x:c>
      <x:c r="B55" s="22" t="n">
        <x:f>'数据处理'!D70</x:f>
        <x:v>3.682412826834941</x:v>
      </x:c>
      <x:c r="C55" s="22" t="n">
        <x:f>'数据处理'!E70</x:f>
        <x:v>3.5972807299448957</x:v>
      </x:c>
    </x:row>
    <x:row r="56">
      <x:c r="A56" s="22" t="n">
        <x:f>'数据处理'!B71</x:f>
        <x:v>-4.300000000000001</x:v>
      </x:c>
      <x:c r="B56" s="22" t="n">
        <x:f>'数据处理'!D71</x:f>
        <x:v>3.6903985418294325</x:v>
      </x:c>
      <x:c r="C56" s="22" t="n">
        <x:f>'数据处理'!E71</x:f>
        <x:v>3.6017790019301503</x:v>
      </x:c>
    </x:row>
    <x:row r="57">
      <x:c r="A57" s="22" t="n">
        <x:f>'数据处理'!B72</x:f>
        <x:v>-3.3000000000000007</x:v>
      </x:c>
      <x:c r="B57" s="22" t="n">
        <x:f>'数据处理'!D72</x:f>
        <x:v>3.6983842568239242</x:v>
      </x:c>
      <x:c r="C57" s="22" t="n">
        <x:f>'数据处理'!E72</x:f>
        <x:v>3.6047441862291913</x:v>
      </x:c>
    </x:row>
    <x:row r="58">
      <x:c r="A58" s="22" t="n">
        <x:f>'数据处理'!B73</x:f>
        <x:v>-2.3000000000000007</x:v>
      </x:c>
      <x:c r="B58" s="22" t="n">
        <x:f>'数据处理'!D73</x:f>
        <x:v>3.7050390193193334</x:v>
      </x:c>
      <x:c r="C58" s="22" t="n">
        <x:f>'数据处理'!E73</x:f>
        <x:v>3.606653265406617</x:v>
      </x:c>
    </x:row>
    <x:row r="59">
      <x:c r="A59" s="22" t="n">
        <x:f>'数据处理'!B74</x:f>
        <x:v>-1.3000000000000007</x:v>
      </x:c>
      <x:c r="B59" s="22" t="n">
        <x:f>'数据处理'!D74</x:f>
        <x:v>3.7116937818147435</x:v>
      </x:c>
      <x:c r="C59" s="22" t="n">
        <x:f>'数据处理'!E74</x:f>
        <x:v>3.6077733493131876</x:v>
      </x:c>
    </x:row>
    <x:row r="60">
      <x:c r="A60" s="22" t="n">
        <x:f>'数据处理'!B75</x:f>
        <x:v>-0.3000000000000007</x:v>
      </x:c>
      <x:c r="B60" s="22" t="n">
        <x:f>'数据处理'!D75</x:f>
        <x:v>3.71601937743676</x:v>
      </x:c>
      <x:c r="C60" s="22" t="n">
        <x:f>'数据处理'!E75</x:f>
        <x:v>3.6082465372859667</x:v>
      </x:c>
    </x:row>
    <x:row r="61">
      <x:c r="A61" s="22" t="n">
        <x:f>'数据处理'!B76</x:f>
        <x:v>0.6999999999999993</x:v>
      </x:c>
      <x:c r="B61" s="22" t="n">
        <x:f>'数据处理'!D76</x:f>
        <x:v>3.7133574724385956</x:v>
      </x:c>
      <x:c r="C61" s="22" t="n">
        <x:f>'数据处理'!E76</x:f>
        <x:v>3.608129606610736</x:v>
      </x:c>
    </x:row>
    <x:row r="62">
      <x:c r="A62" s="22" t="n">
        <x:f>'数据处理'!B77</x:f>
        <x:v>1.6999999999999993</x:v>
      </x:c>
      <x:c r="B62" s="22" t="n">
        <x:f>'数据处理'!D77</x:f>
        <x:v>3.70936461494135</x:v>
      </x:c>
      <x:c r="C62" s="22" t="n">
        <x:f>'数据处理'!E77</x:f>
        <x:v>3.6074087068274423</x:v>
      </x:c>
    </x:row>
    <x:row r="63">
      <x:c r="A63" s="22" t="n">
        <x:f>'数据处理'!B78</x:f>
        <x:v>2.6999999999999993</x:v>
      </x:c>
      <x:c r="B63" s="22" t="n">
        <x:f>'数据处理'!D78</x:f>
        <x:v>3.701711638071629</x:v>
      </x:c>
      <x:c r="C63" s="22" t="n">
        <x:f>'数据处理'!E78</x:f>
        <x:v>3.6059958390866393</x:v>
      </x:c>
    </x:row>
    <x:row r="64">
      <x:c r="A64" s="22" t="n">
        <x:f>'数据处理'!B79</x:f>
        <x:v>3.6999999999999993</x:v>
      </x:c>
      <x:c r="B64" s="22" t="n">
        <x:f>'数据处理'!D79</x:f>
        <x:v>3.694058661201908</x:v>
      </x:c>
      <x:c r="C64" s="22" t="n">
        <x:f>'数据处理'!E79</x:f>
        <x:v>3.6037055341824202</x:v>
      </x:c>
    </x:row>
    <x:row r="65">
      <x:c r="A65" s="22" t="n">
        <x:f>'数据处理'!B80</x:f>
        <x:v>4.699999999999999</x:v>
      </x:c>
      <x:c r="B65" s="22" t="n">
        <x:f>'数据处理'!D80</x:f>
        <x:v>3.6840765174587933</x:v>
      </x:c>
      <x:c r="C65" s="22" t="n">
        <x:f>'数据处理'!E80</x:f>
        <x:v>3.600200633836004</x:v>
      </x:c>
    </x:row>
    <x:row r="66">
      <x:c r="A66" s="22" t="n">
        <x:f>'数据处理'!B81</x:f>
        <x:v>5.699999999999999</x:v>
      </x:c>
      <x:c r="B66" s="22" t="n">
        <x:f>'数据处理'!D81</x:f>
        <x:v>3.676423540589072</x:v>
      </x:c>
      <x:c r="C66" s="22" t="n">
        <x:f>'数据处理'!E81</x:f>
        <x:v>3.594878008613709</x:v>
      </x:c>
    </x:row>
    <x:row r="67">
      <x:c r="A67" s="22" t="n">
        <x:f>'数据处理'!B82</x:f>
        <x:v>6.699999999999999</x:v>
      </x:c>
      <x:c r="B67" s="22" t="n">
        <x:f>'数据处理'!D82</x:f>
        <x:v>3.6581229437266956</x:v>
      </x:c>
      <x:c r="C67" s="22" t="n">
        <x:f>'数据处理'!E82</x:f>
        <x:v>3.586620895208772</x:v>
      </x:c>
    </x:row>
    <x:row r="68">
      <x:c r="A68" s="22" t="n">
        <x:f>'数据处理'!B83</x:f>
        <x:v>7.699999999999999</x:v>
      </x:c>
      <x:c r="B68" s="22" t="n">
        <x:f>'数据处理'!D83</x:f>
        <x:v>3.629507464996434</x:v>
      </x:c>
      <x:c r="C68" s="22" t="n">
        <x:f>'数据处理'!E83</x:f>
        <x:v>3.57322027641728</x:v>
      </x:c>
    </x:row>
    <x:row r="69">
      <x:c r="A69" s="22" t="n">
        <x:f>'数据处理'!B84</x:f>
        <x:v>8.7</x:v>
      </x:c>
      <x:c r="B69" s="22" t="n">
        <x:f>'数据处理'!D84</x:f>
        <x:v>3.583256865653337</x:v>
      </x:c>
      <x:c r="C69" s="22" t="n">
        <x:f>'数据处理'!E84</x:f>
        <x:v>3.5498693593799433</x:v>
      </x:c>
    </x:row>
    <x:row r="70">
      <x:c r="A70" s="22" t="n">
        <x:f>'数据处理'!B85</x:f>
        <x:v>9.2</x:v>
      </x:c>
      <x:c r="B70" s="22" t="n">
        <x:f>'数据处理'!D85</x:f>
        <x:v>3.54432650505519</x:v>
      </x:c>
      <x:c r="C70" s="22" t="n">
        <x:f>'数据处理'!E85</x:f>
        <x:v>3.531290938980976</x:v>
      </x:c>
    </x:row>
    <x:row r="71">
      <x:c r="A71" s="22" t="n">
        <x:f>'数据处理'!B86</x:f>
        <x:v>9.7</x:v>
      </x:c>
      <x:c r="B71" s="22" t="n">
        <x:f>'数据处理'!D86</x:f>
        <x:v>3.487428285719438</x:v>
      </x:c>
      <x:c r="C71" s="22" t="n">
        <x:f>'数据处理'!E86</x:f>
        <x:v>3.5046521644300306</x:v>
      </x:c>
    </x:row>
    <x:row r="72">
      <x:c r="A72" s="22" t="n">
        <x:f>'数据处理'!B87</x:f>
        <x:v>10.2</x:v>
      </x:c>
      <x:c r="B72" s="22" t="n">
        <x:f>'数据处理'!D87</x:f>
        <x:v>3.4039110164020463</x:v>
      </x:c>
      <x:c r="C72" s="22" t="n">
        <x:f>'数据处理'!E87</x:f>
        <x:v>3.464855671461187</x:v>
      </x:c>
    </x:row>
    <x:row r="73">
      <x:c r="A73" s="22" t="n">
        <x:f>'数据处理'!B88</x:f>
        <x:v>10.7</x:v>
      </x:c>
      <x:c r="B73" s="22" t="n">
        <x:f>'数据处理'!D88</x:f>
        <x:v>3.2944401733525575</x:v>
      </x:c>
      <x:c r="C73" s="22" t="n">
        <x:f>'数据处理'!E88</x:f>
        <x:v>3.4024110220163744</x:v>
      </x:c>
    </x:row>
    <x:row r="74">
      <x:c r="A74" s="22" t="n">
        <x:f>'数据处理'!B89</x:f>
        <x:v>11.2</x:v>
      </x:c>
      <x:c r="B74" s="22" t="n">
        <x:f>'数据处理'!D89</x:f>
        <x:v>3.1160925384755784</x:v>
      </x:c>
      <x:c r="C74" s="22" t="n">
        <x:f>'数据处理'!E89</x:f>
        <x:v>3.2987422806040207</x:v>
      </x:c>
    </x:row>
    <x:row r="75">
      <x:c r="A75" s="22" t="n">
        <x:f>'数据处理'!B90</x:f>
        <x:v>11.7</x:v>
      </x:c>
      <x:c r="B75" s="22" t="n">
        <x:f>'数据处理'!D90</x:f>
        <x:v>2.8385889424169948</x:v>
      </x:c>
      <x:c r="C75" s="22" t="n">
        <x:f>'数据处理'!E90</x:f>
        <x:v>3.116619959470055</x:v>
      </x:c>
    </x:row>
    <x:row r="76">
      <x:c r="A76" s="22" t="n">
        <x:f>'数据处理'!B91</x:f>
        <x:v>12.2</x:v>
      </x:c>
      <x:c r="B76" s="22" t="n">
        <x:f>'数据处理'!D91</x:f>
        <x:v>2.4293210489493005</x:v>
      </x:c>
      <x:c r="C76" s="22" t="n">
        <x:f>'数据处理'!E91</x:f>
        <x:v>2.787243460796902</x:v>
      </x:c>
    </x:row>
    <x:row r="77">
      <x:c r="A77" s="22" t="n">
        <x:f>'数据处理'!B92</x:f>
        <x:v>12.7</x:v>
      </x:c>
      <x:c r="B77" s="22" t="n">
        <x:f>'数据处理'!D92</x:f>
        <x:v>1.9365358861642141</x:v>
      </x:c>
      <x:c r="C77" s="22" t="n">
        <x:f>'数据处理'!E92</x:f>
        <x:v>2.233295771699429</x:v>
      </x:c>
    </x:row>
    <x:row r="78">
      <x:c r="A78" s="22" t="n">
        <x:f>'数据处理'!B93</x:f>
        <x:v>13.2</x:v>
      </x:c>
      <x:c r="B78" s="22" t="n">
        <x:f>'数据处理'!D93</x:f>
        <x:v>1.4207917927699647</x:v>
      </x:c>
      <x:c r="C78" s="22" t="n">
        <x:f>'数据处理'!E93</x:f>
        <x:v>1.524046986930106</x:v>
      </x:c>
    </x:row>
    <x:row r="79">
      <x:c r="A79" s="22" t="n">
        <x:f>'数据处理'!B94</x:f>
        <x:v>13.7</x:v>
      </x:c>
      <x:c r="B79" s="22" t="n">
        <x:f>'数据处理'!D94</x:f>
        <x:v>1.036479258660056</x:v>
      </x:c>
      <x:c r="C79" s="22" t="n">
        <x:f>'数据处理'!E94</x:f>
        <x:v>0.924901560063204</x:v>
      </x:c>
    </x:row>
    <x:row r="80">
      <x:c r="A80" s="22" t="n">
        <x:f>'数据处理'!B95</x:f>
        <x:v>14.2</x:v>
      </x:c>
      <x:c r="B80" s="22" t="n">
        <x:f>'数据处理'!D95</x:f>
        <x:v>0.707401253262048</x:v>
      </x:c>
      <x:c r="C80" s="22" t="n">
        <x:f>'数据处理'!E95</x:f>
        <x:v>0.5553620554112186</x:v>
      </x:c>
    </x:row>
    <x:row r="81">
      <x:c r="A81" s="22" t="n">
        <x:f>'数据处理'!B96</x:f>
        <x:v>14.7</x:v>
      </x:c>
      <x:c r="B81" s="22" t="n">
        <x:f>'数据处理'!D96</x:f>
        <x:v>0.48879230528784023</x:v>
      </x:c>
      <x:c r="C81" s="22" t="n">
        <x:f>'数据处理'!E96</x:f>
        <x:v>0.35040662166548225</x:v>
      </x:c>
    </x:row>
  </x:sheetData>
  <x:pageMargins left="0.7" right="0.7" top="0.75" bottom="0.75" header="0.3" footer="0.3"/>
  <x:drawing xmlns:r="http://schemas.openxmlformats.org/officeDocument/2006/relationships" r:id="Rf9770e0e48e3427c"/>
</x:worksheet>
</file>