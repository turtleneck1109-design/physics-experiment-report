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2"/>
  </bookViews>
  <sheets>
    <sheet name="room_to_30C" sheetId="1" r:id="rId1"/>
    <sheet name="30C_to_90C" sheetId="2" r:id="rId2"/>
    <sheet name="combined_25C_to_90C" sheetId="3" r:id="rId3"/>
  </sheets>
  <definedNames>
    <definedName name="_xlnm._FilterDatabase" localSheetId="0" hidden="1">room_to_30C!$A$1:$K$13</definedName>
    <definedName name="_xlnm._FilterDatabase" localSheetId="1" hidden="1">'30C_to_90C'!$A$1:$K$31</definedName>
    <definedName name="_xlnm._FilterDatabase" localSheetId="2" hidden="1">combined_25C_to_90C!$A$1:$K$34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<sst xmlns="http://schemas.openxmlformats.org/spreadsheetml/2006/main" count="85" uniqueCount="25">
  <si>
    <t>序号</t>
  </si>
  <si>
    <t>t / ℃</t>
  </si>
  <si>
    <t>R / Ω (CH1)</t>
  </si>
  <si>
    <t>U / V (CH2)</t>
  </si>
  <si>
    <t>T / K</t>
  </si>
  <si>
    <t>1/T / K^-1</t>
  </si>
  <si>
    <t>ln(R/Ω)</t>
  </si>
  <si>
    <t>lnR拟合值</t>
  </si>
  <si>
    <t>lnR残差</t>
  </si>
  <si>
    <t>U拟合值</t>
  </si>
  <si>
    <t>U残差</t>
  </si>
  <si>
    <t>数据组</t>
  </si>
  <si>
    <t>room_to_30C</t>
  </si>
  <si>
    <t>热敏电阻：lnR = a + b*(1/T)</t>
  </si>
  <si>
    <t/>
  </si>
  <si>
    <t>截距 a</t>
  </si>
  <si>
    <t>斜率 b</t>
  </si>
  <si>
    <t>Pearson r</t>
  </si>
  <si>
    <t>R平方</t>
  </si>
  <si>
    <t>残差平方和</t>
  </si>
  <si>
    <t>PN结：U = a + b*T</t>
  </si>
  <si>
    <t>说明</t>
  </si>
  <si>
    <t>E-G列、H-K列和右侧汇总区均含Excel公式，并写入了Python复算值。</t>
  </si>
  <si>
    <t>30C_to_90C</t>
  </si>
  <si>
    <t>combined_25C_to_90C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</si>
</sst>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448310</xdr:colOff>
      <xdr:row>35</xdr:row>
      <xdr:rowOff>60325</xdr:rowOff>
    </xdr:from>
    <xdr:to>
      <xdr:col>13</xdr:col>
      <xdr:colOff>1511300</xdr:colOff>
      <xdr:row>59</xdr:row>
      <xdr:rowOff>104775</xdr:rowOff>
    </xdr:to>
    <xdr:pic>
      <xdr:nvPicPr>
        <xdr:cNvPr id="2" name="图片 1" descr="combined_25C_to_90C_thermistor_lnR_inv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73820" y="6505575"/>
          <a:ext cx="6638290" cy="4464050"/>
        </a:xfrm>
        <a:prstGeom prst="rect">
          <a:avLst/>
        </a:prstGeom>
      </xdr:spPr>
    </xdr:pic>
    <xdr:clientData/>
  </xdr:twoCellAnchor>
  <xdr:twoCellAnchor editAs="oneCell">
    <xdr:from>
      <xdr:col>2</xdr:col>
      <xdr:colOff>640715</xdr:colOff>
      <xdr:row>35</xdr:row>
      <xdr:rowOff>99695</xdr:rowOff>
    </xdr:from>
    <xdr:to>
      <xdr:col>8</xdr:col>
      <xdr:colOff>467360</xdr:colOff>
      <xdr:row>59</xdr:row>
      <xdr:rowOff>71755</xdr:rowOff>
    </xdr:to>
    <xdr:pic>
      <xdr:nvPicPr>
        <xdr:cNvPr id="3" name="图片 2" descr="combined_25C_to_90C_pn_T_U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60625" y="6544945"/>
          <a:ext cx="6532245" cy="4391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workbookViewId="0">
      <selection activeCell="G25" sqref="G25"/>
    </sheetView>
  </sheetViews>
  <sheetFormatPr defaultColWidth="9.81818181818182" defaultRowHeight="14.5"/>
  <cols>
    <col min="1" max="1" width="8" customWidth="1"/>
    <col min="2" max="11" width="16" customWidth="1"/>
    <col min="13" max="16" width="2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23.055</v>
      </c>
      <c r="C2">
        <v>1844.467809</v>
      </c>
      <c r="D2">
        <v>0.4872835</v>
      </c>
      <c r="E2">
        <f t="shared" ref="E2:E13" si="0">B2+273.15</f>
        <v>296.205</v>
      </c>
      <c r="F2">
        <f t="shared" ref="F2:F13" si="1">1/E2</f>
        <v>0.00337604024239969</v>
      </c>
      <c r="G2">
        <f t="shared" ref="G2:G13" si="2">LN(C2)</f>
        <v>7.5199460644583</v>
      </c>
      <c r="H2">
        <f>$N$5+$N$6*F2</f>
        <v>0</v>
      </c>
      <c r="I2">
        <f t="shared" ref="I2:I13" si="3">G2-H2</f>
        <v>7.5199460644583</v>
      </c>
      <c r="J2">
        <f t="shared" ref="J2:J13" si="4">$N$14+$N$15*E2</f>
        <v>0</v>
      </c>
      <c r="K2">
        <f t="shared" ref="K2:K13" si="5">D2-J2</f>
        <v>0.4872835</v>
      </c>
    </row>
    <row r="3" spans="1:11">
      <c r="A3">
        <v>2</v>
      </c>
      <c r="B3">
        <v>24.035</v>
      </c>
      <c r="C3">
        <v>1802.523422</v>
      </c>
      <c r="D3">
        <v>0.48623469</v>
      </c>
      <c r="E3">
        <f t="shared" si="0"/>
        <v>297.185</v>
      </c>
      <c r="F3">
        <f t="shared" si="1"/>
        <v>0.00336490738092434</v>
      </c>
      <c r="G3">
        <f t="shared" si="2"/>
        <v>7.49694286324944</v>
      </c>
      <c r="H3">
        <f>$N$5+$N$6*F3</f>
        <v>0</v>
      </c>
      <c r="I3">
        <f t="shared" si="3"/>
        <v>7.49694286324944</v>
      </c>
      <c r="J3">
        <f t="shared" si="4"/>
        <v>0</v>
      </c>
      <c r="K3">
        <f t="shared" si="5"/>
        <v>0.48623469</v>
      </c>
    </row>
    <row r="4" spans="1:11">
      <c r="A4">
        <v>3</v>
      </c>
      <c r="B4">
        <v>25.032</v>
      </c>
      <c r="C4">
        <v>1743.88577</v>
      </c>
      <c r="D4">
        <v>0.48445156</v>
      </c>
      <c r="E4">
        <f t="shared" si="0"/>
        <v>298.182</v>
      </c>
      <c r="F4">
        <f t="shared" si="1"/>
        <v>0.00335365649167287</v>
      </c>
      <c r="G4">
        <f t="shared" si="2"/>
        <v>7.46387110347057</v>
      </c>
      <c r="H4">
        <f>$N$5+$N$6*F4</f>
        <v>0</v>
      </c>
      <c r="I4">
        <f t="shared" si="3"/>
        <v>7.46387110347057</v>
      </c>
      <c r="J4">
        <f t="shared" si="4"/>
        <v>0</v>
      </c>
      <c r="K4">
        <f t="shared" si="5"/>
        <v>0.48445156</v>
      </c>
    </row>
    <row r="5" spans="1:11">
      <c r="A5">
        <v>4</v>
      </c>
      <c r="B5">
        <v>26.008</v>
      </c>
      <c r="C5">
        <v>1679.656159</v>
      </c>
      <c r="D5">
        <v>0.48222485</v>
      </c>
      <c r="E5">
        <f t="shared" si="0"/>
        <v>299.158</v>
      </c>
      <c r="F5">
        <f t="shared" si="1"/>
        <v>0.00334271522071949</v>
      </c>
      <c r="G5">
        <f t="shared" si="2"/>
        <v>7.4263443841882</v>
      </c>
      <c r="H5">
        <f>$N$5+$N$6*F5</f>
        <v>0</v>
      </c>
      <c r="I5">
        <f t="shared" si="3"/>
        <v>7.4263443841882</v>
      </c>
      <c r="J5">
        <f t="shared" si="4"/>
        <v>0</v>
      </c>
      <c r="K5">
        <f t="shared" si="5"/>
        <v>0.48222485</v>
      </c>
    </row>
    <row r="6" spans="1:11">
      <c r="A6">
        <v>5</v>
      </c>
      <c r="B6">
        <v>27.007</v>
      </c>
      <c r="C6">
        <v>1614.194877</v>
      </c>
      <c r="D6">
        <v>0.47972515</v>
      </c>
      <c r="E6">
        <f t="shared" si="0"/>
        <v>300.157</v>
      </c>
      <c r="F6">
        <f t="shared" si="1"/>
        <v>0.0033315898013373</v>
      </c>
      <c r="G6">
        <f t="shared" si="2"/>
        <v>7.3865915831769</v>
      </c>
      <c r="H6">
        <f>$N$5+$N$6*F6</f>
        <v>0</v>
      </c>
      <c r="I6">
        <f t="shared" si="3"/>
        <v>7.3865915831769</v>
      </c>
      <c r="J6">
        <f t="shared" si="4"/>
        <v>0</v>
      </c>
      <c r="K6">
        <f t="shared" si="5"/>
        <v>0.47972515</v>
      </c>
    </row>
    <row r="7" spans="1:11">
      <c r="A7">
        <v>6</v>
      </c>
      <c r="B7">
        <v>28.028</v>
      </c>
      <c r="C7">
        <v>1550.579223</v>
      </c>
      <c r="D7">
        <v>0.47710851</v>
      </c>
      <c r="E7">
        <f t="shared" si="0"/>
        <v>301.178</v>
      </c>
      <c r="F7">
        <f t="shared" si="1"/>
        <v>0.00332029563912371</v>
      </c>
      <c r="G7">
        <f t="shared" si="2"/>
        <v>7.3463838323658</v>
      </c>
      <c r="H7">
        <f>$N$5+$N$6*F7</f>
        <v>0</v>
      </c>
      <c r="I7">
        <f t="shared" si="3"/>
        <v>7.3463838323658</v>
      </c>
      <c r="J7">
        <f t="shared" si="4"/>
        <v>0</v>
      </c>
      <c r="K7">
        <f t="shared" si="5"/>
        <v>0.47710851</v>
      </c>
    </row>
    <row r="8" spans="1:11">
      <c r="A8">
        <v>7</v>
      </c>
      <c r="B8">
        <v>28.989</v>
      </c>
      <c r="C8">
        <v>1494.110763</v>
      </c>
      <c r="D8">
        <v>0.47465482</v>
      </c>
      <c r="E8">
        <f t="shared" si="0"/>
        <v>302.139</v>
      </c>
      <c r="F8">
        <f t="shared" si="1"/>
        <v>0.00330973492332999</v>
      </c>
      <c r="G8">
        <f t="shared" si="2"/>
        <v>7.30928650149885</v>
      </c>
      <c r="H8">
        <f>$N$5+$N$6*F8</f>
        <v>0</v>
      </c>
      <c r="I8">
        <f t="shared" si="3"/>
        <v>7.30928650149885</v>
      </c>
      <c r="J8">
        <f t="shared" si="4"/>
        <v>0</v>
      </c>
      <c r="K8">
        <f t="shared" si="5"/>
        <v>0.47465482</v>
      </c>
    </row>
    <row r="9" spans="1:11">
      <c r="A9">
        <v>8</v>
      </c>
      <c r="B9">
        <v>30.012</v>
      </c>
      <c r="C9">
        <v>1435.120132</v>
      </c>
      <c r="D9">
        <v>0.47196737</v>
      </c>
      <c r="E9">
        <f t="shared" si="0"/>
        <v>303.162</v>
      </c>
      <c r="F9">
        <f t="shared" si="1"/>
        <v>0.00329856644302386</v>
      </c>
      <c r="G9">
        <f t="shared" si="2"/>
        <v>7.2690038403692</v>
      </c>
      <c r="H9">
        <f>$N$5+$N$6*F9</f>
        <v>0</v>
      </c>
      <c r="I9">
        <f t="shared" si="3"/>
        <v>7.2690038403692</v>
      </c>
      <c r="J9">
        <f t="shared" si="4"/>
        <v>0</v>
      </c>
      <c r="K9">
        <f t="shared" si="5"/>
        <v>0.47196737</v>
      </c>
    </row>
    <row r="10" spans="1:11">
      <c r="A10">
        <v>9</v>
      </c>
      <c r="B10">
        <v>30.983</v>
      </c>
      <c r="C10">
        <v>1381.977432</v>
      </c>
      <c r="D10">
        <v>0.46944073</v>
      </c>
      <c r="E10">
        <f t="shared" si="0"/>
        <v>304.133</v>
      </c>
      <c r="F10">
        <f t="shared" si="1"/>
        <v>0.00328803516882417</v>
      </c>
      <c r="G10">
        <f t="shared" si="2"/>
        <v>7.2312706742377</v>
      </c>
      <c r="H10">
        <f>$N$5+$N$6*F10</f>
        <v>0</v>
      </c>
      <c r="I10">
        <f t="shared" si="3"/>
        <v>7.2312706742377</v>
      </c>
      <c r="J10">
        <f t="shared" si="4"/>
        <v>0</v>
      </c>
      <c r="K10">
        <f t="shared" si="5"/>
        <v>0.46944073</v>
      </c>
    </row>
    <row r="11" spans="1:11">
      <c r="A11">
        <v>10</v>
      </c>
      <c r="B11">
        <v>31.99</v>
      </c>
      <c r="C11">
        <v>1328.171958</v>
      </c>
      <c r="D11">
        <v>0.46677986</v>
      </c>
      <c r="E11">
        <f t="shared" si="0"/>
        <v>305.14</v>
      </c>
      <c r="F11">
        <f t="shared" si="1"/>
        <v>0.00327718424329816</v>
      </c>
      <c r="G11">
        <f t="shared" si="2"/>
        <v>7.19155880809952</v>
      </c>
      <c r="H11">
        <f>$N$5+$N$6*F11</f>
        <v>0</v>
      </c>
      <c r="I11">
        <f t="shared" si="3"/>
        <v>7.19155880809952</v>
      </c>
      <c r="J11">
        <f t="shared" si="4"/>
        <v>0</v>
      </c>
      <c r="K11">
        <f t="shared" si="5"/>
        <v>0.46677986</v>
      </c>
    </row>
    <row r="12" spans="1:11">
      <c r="A12">
        <v>11</v>
      </c>
      <c r="B12">
        <v>32.988</v>
      </c>
      <c r="C12">
        <v>1277.021335</v>
      </c>
      <c r="D12">
        <v>0.46414163</v>
      </c>
      <c r="E12">
        <f t="shared" si="0"/>
        <v>306.138</v>
      </c>
      <c r="F12">
        <f t="shared" si="1"/>
        <v>0.00326650072842966</v>
      </c>
      <c r="G12">
        <f t="shared" si="2"/>
        <v>7.15228556301905</v>
      </c>
      <c r="H12">
        <f>$N$5+$N$6*F12</f>
        <v>0</v>
      </c>
      <c r="I12">
        <f t="shared" si="3"/>
        <v>7.15228556301905</v>
      </c>
      <c r="J12">
        <f t="shared" si="4"/>
        <v>0</v>
      </c>
      <c r="K12">
        <f t="shared" si="5"/>
        <v>0.46414163</v>
      </c>
    </row>
    <row r="13" spans="1:11">
      <c r="A13">
        <v>12</v>
      </c>
      <c r="B13">
        <v>33.994</v>
      </c>
      <c r="C13">
        <v>1225.753678</v>
      </c>
      <c r="D13">
        <v>0.46139303</v>
      </c>
      <c r="E13">
        <f t="shared" si="0"/>
        <v>307.144</v>
      </c>
      <c r="F13">
        <f t="shared" si="1"/>
        <v>0.00325580183887688</v>
      </c>
      <c r="G13">
        <f t="shared" si="2"/>
        <v>7.11131118113871</v>
      </c>
      <c r="H13">
        <f>$N$5+$N$6*F13</f>
        <v>0</v>
      </c>
      <c r="I13">
        <f t="shared" si="3"/>
        <v>7.11131118113871</v>
      </c>
      <c r="J13">
        <f t="shared" si="4"/>
        <v>0</v>
      </c>
      <c r="K13">
        <f t="shared" si="5"/>
        <v>0.46139303</v>
      </c>
    </row>
    <row r="16" spans="1:2">
      <c r="A16" t="s">
        <v>11</v>
      </c>
      <c r="B16" t="s">
        <v>12</v>
      </c>
    </row>
    <row r="18" spans="1:2">
      <c r="A18" s="1" t="s">
        <v>13</v>
      </c>
      <c r="B18" t="s">
        <v>14</v>
      </c>
    </row>
    <row r="19" spans="1:2">
      <c r="A19" t="s">
        <v>15</v>
      </c>
      <c r="B19">
        <f>INTERCEPT(G2:G13,F2:F13)</f>
        <v>-4.19566269381406</v>
      </c>
    </row>
    <row r="20" spans="1:2">
      <c r="A20" t="s">
        <v>16</v>
      </c>
      <c r="B20">
        <f>SLOPE(G2:G13,F2:F13)</f>
        <v>3474.99436977222</v>
      </c>
    </row>
    <row r="21" spans="1:2">
      <c r="A21" t="s">
        <v>17</v>
      </c>
      <c r="B21">
        <f>CORREL(F2:F13,G2:G13)</f>
        <v>0.998918716918184</v>
      </c>
    </row>
    <row r="22" spans="1:2">
      <c r="A22" t="s">
        <v>18</v>
      </c>
      <c r="B22">
        <f>RSQ(G2:G13,F2:F13)</f>
        <v>0.997838603009469</v>
      </c>
    </row>
    <row r="23" spans="1:2">
      <c r="A23" t="s">
        <v>19</v>
      </c>
      <c r="B23">
        <f>SUMSQ(I2:I13)</f>
        <v>644.144609634779</v>
      </c>
    </row>
    <row r="27" spans="1:2">
      <c r="A27" s="1" t="s">
        <v>20</v>
      </c>
      <c r="B27" t="s">
        <v>14</v>
      </c>
    </row>
    <row r="28" spans="1:2">
      <c r="A28" t="s">
        <v>15</v>
      </c>
      <c r="B28">
        <f>INTERCEPT(D2:D13,E2:E13)</f>
        <v>1.21466668321137</v>
      </c>
    </row>
    <row r="29" spans="1:2">
      <c r="A29" t="s">
        <v>16</v>
      </c>
      <c r="B29">
        <f>SLOPE(D2:D13,E2:E13)</f>
        <v>-0.00245049394683928</v>
      </c>
    </row>
    <row r="30" spans="1:2">
      <c r="A30" t="s">
        <v>17</v>
      </c>
      <c r="B30">
        <f>CORREL(E2:E13,D2:D13)</f>
        <v>-0.99747402529585</v>
      </c>
    </row>
    <row r="31" spans="1:2">
      <c r="A31" t="s">
        <v>18</v>
      </c>
      <c r="B31">
        <f>RSQ(D2:D13,E2:E13)</f>
        <v>0.994954431139905</v>
      </c>
    </row>
    <row r="32" spans="1:2">
      <c r="A32" t="s">
        <v>19</v>
      </c>
      <c r="B32">
        <f>SUMSQ(K2:K13)</f>
        <v>2.71349166694268</v>
      </c>
    </row>
    <row r="35" spans="1:2">
      <c r="A35" t="s">
        <v>21</v>
      </c>
      <c r="B35" t="s">
        <v>22</v>
      </c>
    </row>
  </sheetData>
  <autoFilter ref="A1:K13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workbookViewId="0">
      <selection activeCell="A1" sqref="A1"/>
    </sheetView>
  </sheetViews>
  <sheetFormatPr defaultColWidth="9.81818181818182" defaultRowHeight="14.5"/>
  <cols>
    <col min="1" max="1" width="8" customWidth="1"/>
    <col min="2" max="11" width="16" customWidth="1"/>
    <col min="13" max="16" width="2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30.986</v>
      </c>
      <c r="C2">
        <v>1760.565892</v>
      </c>
      <c r="D2">
        <v>0.48465338</v>
      </c>
      <c r="E2">
        <f t="shared" ref="E2:E31" si="0">B2+273.15</f>
        <v>304.136</v>
      </c>
      <c r="F2">
        <f t="shared" ref="F2:F31" si="1">1/E2</f>
        <v>0.00328800273561828</v>
      </c>
      <c r="G2">
        <f t="shared" ref="G2:G31" si="2">LN(C2)</f>
        <v>7.47339056589811</v>
      </c>
      <c r="H2">
        <f>$N$5+$N$6*F2</f>
        <v>0</v>
      </c>
      <c r="I2">
        <f t="shared" ref="I2:I31" si="3">G2-H2</f>
        <v>7.47339056589811</v>
      </c>
      <c r="J2">
        <f t="shared" ref="J2:J31" si="4">$N$14+$N$15*E2</f>
        <v>0</v>
      </c>
      <c r="K2">
        <f t="shared" ref="K2:K31" si="5">D2-J2</f>
        <v>0.48465338</v>
      </c>
    </row>
    <row r="3" spans="1:11">
      <c r="A3">
        <v>2</v>
      </c>
      <c r="B3">
        <v>33.01</v>
      </c>
      <c r="C3">
        <v>1630.267926</v>
      </c>
      <c r="D3">
        <v>0.48003009</v>
      </c>
      <c r="E3">
        <f t="shared" si="0"/>
        <v>306.16</v>
      </c>
      <c r="F3">
        <f t="shared" si="1"/>
        <v>0.00326626600470342</v>
      </c>
      <c r="G3">
        <f t="shared" si="2"/>
        <v>7.39649965207239</v>
      </c>
      <c r="H3">
        <f>$N$5+$N$6*F3</f>
        <v>0</v>
      </c>
      <c r="I3">
        <f t="shared" si="3"/>
        <v>7.39649965207239</v>
      </c>
      <c r="J3">
        <f t="shared" si="4"/>
        <v>0</v>
      </c>
      <c r="K3">
        <f t="shared" si="5"/>
        <v>0.48003009</v>
      </c>
    </row>
    <row r="4" spans="1:11">
      <c r="A4">
        <v>3</v>
      </c>
      <c r="B4">
        <v>35.005</v>
      </c>
      <c r="C4">
        <v>1512.903125</v>
      </c>
      <c r="D4">
        <v>0.4754658</v>
      </c>
      <c r="E4">
        <f t="shared" si="0"/>
        <v>308.155</v>
      </c>
      <c r="F4">
        <f t="shared" si="1"/>
        <v>0.00324512015057358</v>
      </c>
      <c r="G4">
        <f t="shared" si="2"/>
        <v>7.32178568331809</v>
      </c>
      <c r="H4">
        <f>$N$5+$N$6*F4</f>
        <v>0</v>
      </c>
      <c r="I4">
        <f t="shared" si="3"/>
        <v>7.32178568331809</v>
      </c>
      <c r="J4">
        <f t="shared" si="4"/>
        <v>0</v>
      </c>
      <c r="K4">
        <f t="shared" si="5"/>
        <v>0.4754658</v>
      </c>
    </row>
    <row r="5" spans="1:11">
      <c r="A5">
        <v>4</v>
      </c>
      <c r="B5">
        <v>37.003</v>
      </c>
      <c r="C5">
        <v>1404.255772</v>
      </c>
      <c r="D5">
        <v>0.47084692</v>
      </c>
      <c r="E5">
        <f t="shared" si="0"/>
        <v>310.153</v>
      </c>
      <c r="F5">
        <f t="shared" si="1"/>
        <v>0.00322421514542822</v>
      </c>
      <c r="G5">
        <f t="shared" si="2"/>
        <v>7.2472627417833</v>
      </c>
      <c r="H5">
        <f>$N$5+$N$6*F5</f>
        <v>0</v>
      </c>
      <c r="I5">
        <f t="shared" si="3"/>
        <v>7.2472627417833</v>
      </c>
      <c r="J5">
        <f t="shared" si="4"/>
        <v>0</v>
      </c>
      <c r="K5">
        <f t="shared" si="5"/>
        <v>0.47084692</v>
      </c>
    </row>
    <row r="6" spans="1:11">
      <c r="A6">
        <v>5</v>
      </c>
      <c r="B6">
        <v>39.011</v>
      </c>
      <c r="C6">
        <v>1304.750818</v>
      </c>
      <c r="D6">
        <v>0.466221</v>
      </c>
      <c r="E6">
        <f t="shared" si="0"/>
        <v>312.161</v>
      </c>
      <c r="F6">
        <f t="shared" si="1"/>
        <v>0.00320347512982083</v>
      </c>
      <c r="G6">
        <f t="shared" si="2"/>
        <v>7.17376735746335</v>
      </c>
      <c r="H6">
        <f>$N$5+$N$6*F6</f>
        <v>0</v>
      </c>
      <c r="I6">
        <f t="shared" si="3"/>
        <v>7.17376735746335</v>
      </c>
      <c r="J6">
        <f t="shared" si="4"/>
        <v>0</v>
      </c>
      <c r="K6">
        <f t="shared" si="5"/>
        <v>0.466221</v>
      </c>
    </row>
    <row r="7" spans="1:11">
      <c r="A7">
        <v>6</v>
      </c>
      <c r="B7">
        <v>41</v>
      </c>
      <c r="C7">
        <v>1214.218659</v>
      </c>
      <c r="D7">
        <v>0.46163335</v>
      </c>
      <c r="E7">
        <f t="shared" si="0"/>
        <v>314.15</v>
      </c>
      <c r="F7">
        <f t="shared" si="1"/>
        <v>0.00318319274232055</v>
      </c>
      <c r="G7">
        <f t="shared" si="2"/>
        <v>7.1018560698983</v>
      </c>
      <c r="H7">
        <f>$N$5+$N$6*F7</f>
        <v>0</v>
      </c>
      <c r="I7">
        <f t="shared" si="3"/>
        <v>7.1018560698983</v>
      </c>
      <c r="J7">
        <f t="shared" si="4"/>
        <v>0</v>
      </c>
      <c r="K7">
        <f t="shared" si="5"/>
        <v>0.46163335</v>
      </c>
    </row>
    <row r="8" spans="1:11">
      <c r="A8">
        <v>7</v>
      </c>
      <c r="B8">
        <v>43.003</v>
      </c>
      <c r="C8">
        <v>1131.117203</v>
      </c>
      <c r="D8">
        <v>0.45703664</v>
      </c>
      <c r="E8">
        <f t="shared" si="0"/>
        <v>316.153</v>
      </c>
      <c r="F8">
        <f t="shared" si="1"/>
        <v>0.00316302549714853</v>
      </c>
      <c r="G8">
        <f t="shared" si="2"/>
        <v>7.03096109851018</v>
      </c>
      <c r="H8">
        <f>$N$5+$N$6*F8</f>
        <v>0</v>
      </c>
      <c r="I8">
        <f t="shared" si="3"/>
        <v>7.03096109851018</v>
      </c>
      <c r="J8">
        <f t="shared" si="4"/>
        <v>0</v>
      </c>
      <c r="K8">
        <f t="shared" si="5"/>
        <v>0.45703664</v>
      </c>
    </row>
    <row r="9" spans="1:11">
      <c r="A9">
        <v>8</v>
      </c>
      <c r="B9">
        <v>44.996</v>
      </c>
      <c r="C9">
        <v>1053.500059</v>
      </c>
      <c r="D9">
        <v>0.45236984</v>
      </c>
      <c r="E9">
        <f t="shared" si="0"/>
        <v>318.146</v>
      </c>
      <c r="F9">
        <f t="shared" si="1"/>
        <v>0.00314321097860731</v>
      </c>
      <c r="G9">
        <f t="shared" si="2"/>
        <v>6.95987328924804</v>
      </c>
      <c r="H9">
        <f>$N$5+$N$6*F9</f>
        <v>0</v>
      </c>
      <c r="I9">
        <f t="shared" si="3"/>
        <v>6.95987328924804</v>
      </c>
      <c r="J9">
        <f t="shared" si="4"/>
        <v>0</v>
      </c>
      <c r="K9">
        <f t="shared" si="5"/>
        <v>0.45236984</v>
      </c>
    </row>
    <row r="10" spans="1:11">
      <c r="A10">
        <v>9</v>
      </c>
      <c r="B10">
        <v>47.004</v>
      </c>
      <c r="C10">
        <v>982.449948</v>
      </c>
      <c r="D10">
        <v>0.44771328</v>
      </c>
      <c r="E10">
        <f t="shared" si="0"/>
        <v>320.154</v>
      </c>
      <c r="F10">
        <f t="shared" si="1"/>
        <v>0.00312349681715674</v>
      </c>
      <c r="G10">
        <f t="shared" si="2"/>
        <v>6.8900493989343</v>
      </c>
      <c r="H10">
        <f>$N$5+$N$6*F10</f>
        <v>0</v>
      </c>
      <c r="I10">
        <f t="shared" si="3"/>
        <v>6.8900493989343</v>
      </c>
      <c r="J10">
        <f t="shared" si="4"/>
        <v>0</v>
      </c>
      <c r="K10">
        <f t="shared" si="5"/>
        <v>0.44771328</v>
      </c>
    </row>
    <row r="11" spans="1:11">
      <c r="A11">
        <v>10</v>
      </c>
      <c r="B11">
        <v>48.993</v>
      </c>
      <c r="C11">
        <v>917.612011</v>
      </c>
      <c r="D11">
        <v>0.44309261</v>
      </c>
      <c r="E11">
        <f t="shared" si="0"/>
        <v>322.143</v>
      </c>
      <c r="F11">
        <f t="shared" si="1"/>
        <v>0.00310421148371996</v>
      </c>
      <c r="G11">
        <f t="shared" si="2"/>
        <v>6.82177465531101</v>
      </c>
      <c r="H11">
        <f>$N$5+$N$6*F11</f>
        <v>0</v>
      </c>
      <c r="I11">
        <f t="shared" si="3"/>
        <v>6.82177465531101</v>
      </c>
      <c r="J11">
        <f t="shared" si="4"/>
        <v>0</v>
      </c>
      <c r="K11">
        <f t="shared" si="5"/>
        <v>0.44309261</v>
      </c>
    </row>
    <row r="12" spans="1:11">
      <c r="A12">
        <v>11</v>
      </c>
      <c r="B12">
        <v>50.99</v>
      </c>
      <c r="C12">
        <v>857.253901</v>
      </c>
      <c r="D12">
        <v>0.43841973</v>
      </c>
      <c r="E12">
        <f t="shared" si="0"/>
        <v>324.14</v>
      </c>
      <c r="F12">
        <f t="shared" si="1"/>
        <v>0.00308508669093602</v>
      </c>
      <c r="G12">
        <f t="shared" si="2"/>
        <v>6.75373414193052</v>
      </c>
      <c r="H12">
        <f>$N$5+$N$6*F12</f>
        <v>0</v>
      </c>
      <c r="I12">
        <f t="shared" si="3"/>
        <v>6.75373414193052</v>
      </c>
      <c r="J12">
        <f t="shared" si="4"/>
        <v>0</v>
      </c>
      <c r="K12">
        <f t="shared" si="5"/>
        <v>0.43841973</v>
      </c>
    </row>
    <row r="13" spans="1:11">
      <c r="A13">
        <v>12</v>
      </c>
      <c r="B13">
        <v>53.007</v>
      </c>
      <c r="C13">
        <v>800.164598</v>
      </c>
      <c r="D13">
        <v>0.43361416</v>
      </c>
      <c r="E13">
        <f t="shared" si="0"/>
        <v>326.157</v>
      </c>
      <c r="F13">
        <f t="shared" si="1"/>
        <v>0.00306600808812934</v>
      </c>
      <c r="G13">
        <f t="shared" si="2"/>
        <v>6.68481745400481</v>
      </c>
      <c r="H13">
        <f>$N$5+$N$6*F13</f>
        <v>0</v>
      </c>
      <c r="I13">
        <f t="shared" si="3"/>
        <v>6.68481745400481</v>
      </c>
      <c r="J13">
        <f t="shared" si="4"/>
        <v>0</v>
      </c>
      <c r="K13">
        <f t="shared" si="5"/>
        <v>0.43361416</v>
      </c>
    </row>
    <row r="14" spans="1:11">
      <c r="A14">
        <v>13</v>
      </c>
      <c r="B14">
        <v>55.001</v>
      </c>
      <c r="C14">
        <v>748.279855</v>
      </c>
      <c r="D14">
        <v>0.4288651</v>
      </c>
      <c r="E14">
        <f t="shared" si="0"/>
        <v>328.151</v>
      </c>
      <c r="F14">
        <f t="shared" si="1"/>
        <v>0.0030473775792242</v>
      </c>
      <c r="G14">
        <f t="shared" si="2"/>
        <v>6.61777704570295</v>
      </c>
      <c r="H14">
        <f>$N$5+$N$6*F14</f>
        <v>0</v>
      </c>
      <c r="I14">
        <f t="shared" si="3"/>
        <v>6.61777704570295</v>
      </c>
      <c r="J14">
        <f t="shared" si="4"/>
        <v>0</v>
      </c>
      <c r="K14">
        <f t="shared" si="5"/>
        <v>0.4288651</v>
      </c>
    </row>
    <row r="15" spans="1:11">
      <c r="A15">
        <v>14</v>
      </c>
      <c r="B15">
        <v>57.002</v>
      </c>
      <c r="C15">
        <v>699.506205</v>
      </c>
      <c r="D15">
        <v>0.42401757</v>
      </c>
      <c r="E15">
        <f t="shared" si="0"/>
        <v>330.152</v>
      </c>
      <c r="F15">
        <f t="shared" si="1"/>
        <v>0.00302890789696867</v>
      </c>
      <c r="G15">
        <f t="shared" si="2"/>
        <v>6.55037466468807</v>
      </c>
      <c r="H15">
        <f>$N$5+$N$6*F15</f>
        <v>0</v>
      </c>
      <c r="I15">
        <f t="shared" si="3"/>
        <v>6.55037466468807</v>
      </c>
      <c r="J15">
        <f t="shared" si="4"/>
        <v>0</v>
      </c>
      <c r="K15">
        <f t="shared" si="5"/>
        <v>0.42401757</v>
      </c>
    </row>
    <row r="16" spans="1:11">
      <c r="A16">
        <v>15</v>
      </c>
      <c r="B16">
        <v>59.009</v>
      </c>
      <c r="C16">
        <v>654.490778</v>
      </c>
      <c r="D16">
        <v>0.41915705</v>
      </c>
      <c r="E16">
        <f t="shared" si="0"/>
        <v>332.159</v>
      </c>
      <c r="F16">
        <f t="shared" si="1"/>
        <v>0.00301060636622822</v>
      </c>
      <c r="G16">
        <f t="shared" si="2"/>
        <v>6.48385749510554</v>
      </c>
      <c r="H16">
        <f>$N$5+$N$6*F16</f>
        <v>0</v>
      </c>
      <c r="I16">
        <f t="shared" si="3"/>
        <v>6.48385749510554</v>
      </c>
      <c r="J16">
        <f t="shared" si="4"/>
        <v>0</v>
      </c>
      <c r="K16">
        <f t="shared" si="5"/>
        <v>0.41915705</v>
      </c>
    </row>
    <row r="17" spans="1:11">
      <c r="A17">
        <v>16</v>
      </c>
      <c r="B17">
        <v>61.005</v>
      </c>
      <c r="C17">
        <v>612.033195</v>
      </c>
      <c r="D17">
        <v>0.41417625</v>
      </c>
      <c r="E17">
        <f t="shared" si="0"/>
        <v>334.155</v>
      </c>
      <c r="F17">
        <f t="shared" si="1"/>
        <v>0.00299262318385181</v>
      </c>
      <c r="G17">
        <f t="shared" si="2"/>
        <v>6.41678652123746</v>
      </c>
      <c r="H17">
        <f>$N$5+$N$6*F17</f>
        <v>0</v>
      </c>
      <c r="I17">
        <f t="shared" si="3"/>
        <v>6.41678652123746</v>
      </c>
      <c r="J17">
        <f t="shared" si="4"/>
        <v>0</v>
      </c>
      <c r="K17">
        <f t="shared" si="5"/>
        <v>0.41417625</v>
      </c>
    </row>
    <row r="18" spans="1:11">
      <c r="A18">
        <v>17</v>
      </c>
      <c r="B18">
        <v>62.998</v>
      </c>
      <c r="C18">
        <v>572.299932</v>
      </c>
      <c r="D18">
        <v>0.40910723</v>
      </c>
      <c r="E18">
        <f t="shared" si="0"/>
        <v>336.148</v>
      </c>
      <c r="F18">
        <f t="shared" si="1"/>
        <v>0.00297488011233147</v>
      </c>
      <c r="G18">
        <f t="shared" si="2"/>
        <v>6.34966321059625</v>
      </c>
      <c r="H18">
        <f>$N$5+$N$6*F18</f>
        <v>0</v>
      </c>
      <c r="I18">
        <f t="shared" si="3"/>
        <v>6.34966321059625</v>
      </c>
      <c r="J18">
        <f t="shared" si="4"/>
        <v>0</v>
      </c>
      <c r="K18">
        <f t="shared" si="5"/>
        <v>0.40910723</v>
      </c>
    </row>
    <row r="19" spans="1:11">
      <c r="A19">
        <v>18</v>
      </c>
      <c r="B19">
        <v>64.998</v>
      </c>
      <c r="C19">
        <v>535.588892</v>
      </c>
      <c r="D19">
        <v>0.4040226</v>
      </c>
      <c r="E19">
        <f t="shared" si="0"/>
        <v>338.148</v>
      </c>
      <c r="F19">
        <f t="shared" si="1"/>
        <v>0.00295728497580941</v>
      </c>
      <c r="G19">
        <f t="shared" si="2"/>
        <v>6.28336687424422</v>
      </c>
      <c r="H19">
        <f>$N$5+$N$6*F19</f>
        <v>0</v>
      </c>
      <c r="I19">
        <f t="shared" si="3"/>
        <v>6.28336687424422</v>
      </c>
      <c r="J19">
        <f t="shared" si="4"/>
        <v>0</v>
      </c>
      <c r="K19">
        <f t="shared" si="5"/>
        <v>0.4040226</v>
      </c>
    </row>
    <row r="20" spans="1:11">
      <c r="A20">
        <v>19</v>
      </c>
      <c r="B20">
        <v>66.999</v>
      </c>
      <c r="C20">
        <v>500.528216</v>
      </c>
      <c r="D20">
        <v>0.39874055</v>
      </c>
      <c r="E20">
        <f t="shared" si="0"/>
        <v>340.149</v>
      </c>
      <c r="F20">
        <f t="shared" si="1"/>
        <v>0.00293988810785861</v>
      </c>
      <c r="G20">
        <f t="shared" si="2"/>
        <v>6.21566397279061</v>
      </c>
      <c r="H20">
        <f>$N$5+$N$6*F20</f>
        <v>0</v>
      </c>
      <c r="I20">
        <f t="shared" si="3"/>
        <v>6.21566397279061</v>
      </c>
      <c r="J20">
        <f t="shared" si="4"/>
        <v>0</v>
      </c>
      <c r="K20">
        <f t="shared" si="5"/>
        <v>0.39874055</v>
      </c>
    </row>
    <row r="21" spans="1:11">
      <c r="A21">
        <v>20</v>
      </c>
      <c r="B21">
        <v>69.006</v>
      </c>
      <c r="C21">
        <v>467.563508</v>
      </c>
      <c r="D21">
        <v>0.39333012</v>
      </c>
      <c r="E21">
        <f t="shared" si="0"/>
        <v>342.156</v>
      </c>
      <c r="F21">
        <f t="shared" si="1"/>
        <v>0.00292264347256807</v>
      </c>
      <c r="G21">
        <f t="shared" si="2"/>
        <v>6.14753518549182</v>
      </c>
      <c r="H21">
        <f>$N$5+$N$6*F21</f>
        <v>0</v>
      </c>
      <c r="I21">
        <f t="shared" si="3"/>
        <v>6.14753518549182</v>
      </c>
      <c r="J21">
        <f t="shared" si="4"/>
        <v>0</v>
      </c>
      <c r="K21">
        <f t="shared" si="5"/>
        <v>0.39333012</v>
      </c>
    </row>
    <row r="22" spans="1:11">
      <c r="A22">
        <v>21</v>
      </c>
      <c r="B22">
        <v>70.998</v>
      </c>
      <c r="C22">
        <v>436.332401</v>
      </c>
      <c r="D22">
        <v>0.38774123</v>
      </c>
      <c r="E22">
        <f t="shared" si="0"/>
        <v>344.148</v>
      </c>
      <c r="F22">
        <f t="shared" si="1"/>
        <v>0.0029057266059951</v>
      </c>
      <c r="G22">
        <f t="shared" si="2"/>
        <v>6.0784043404939</v>
      </c>
      <c r="H22">
        <f>$N$5+$N$6*F22</f>
        <v>0</v>
      </c>
      <c r="I22">
        <f t="shared" si="3"/>
        <v>6.0784043404939</v>
      </c>
      <c r="J22">
        <f t="shared" si="4"/>
        <v>0</v>
      </c>
      <c r="K22">
        <f t="shared" si="5"/>
        <v>0.38774123</v>
      </c>
    </row>
    <row r="23" spans="1:11">
      <c r="A23">
        <v>22</v>
      </c>
      <c r="B23">
        <v>72.991</v>
      </c>
      <c r="C23">
        <v>406.541998</v>
      </c>
      <c r="D23">
        <v>0.38192608</v>
      </c>
      <c r="E23">
        <f t="shared" si="0"/>
        <v>346.141</v>
      </c>
      <c r="F23">
        <f t="shared" si="1"/>
        <v>0.00288899610274426</v>
      </c>
      <c r="G23">
        <f t="shared" si="2"/>
        <v>6.00768723976428</v>
      </c>
      <c r="H23">
        <f>$N$5+$N$6*F23</f>
        <v>0</v>
      </c>
      <c r="I23">
        <f t="shared" si="3"/>
        <v>6.00768723976428</v>
      </c>
      <c r="J23">
        <f t="shared" si="4"/>
        <v>0</v>
      </c>
      <c r="K23">
        <f t="shared" si="5"/>
        <v>0.38192608</v>
      </c>
    </row>
    <row r="24" spans="1:11">
      <c r="A24">
        <v>23</v>
      </c>
      <c r="B24">
        <v>75.004</v>
      </c>
      <c r="C24">
        <v>377.486967</v>
      </c>
      <c r="D24">
        <v>0.37570097</v>
      </c>
      <c r="E24">
        <f t="shared" si="0"/>
        <v>348.154</v>
      </c>
      <c r="F24">
        <f t="shared" si="1"/>
        <v>0.00287229214657881</v>
      </c>
      <c r="G24">
        <f t="shared" si="2"/>
        <v>5.93353604358978</v>
      </c>
      <c r="H24">
        <f>$N$5+$N$6*F24</f>
        <v>0</v>
      </c>
      <c r="I24">
        <f t="shared" si="3"/>
        <v>5.93353604358978</v>
      </c>
      <c r="J24">
        <f t="shared" si="4"/>
        <v>0</v>
      </c>
      <c r="K24">
        <f t="shared" si="5"/>
        <v>0.37570097</v>
      </c>
    </row>
    <row r="25" spans="1:11">
      <c r="A25">
        <v>24</v>
      </c>
      <c r="B25">
        <v>77.002</v>
      </c>
      <c r="C25">
        <v>348.845622</v>
      </c>
      <c r="D25">
        <v>0.3689362</v>
      </c>
      <c r="E25">
        <f t="shared" si="0"/>
        <v>350.152</v>
      </c>
      <c r="F25">
        <f t="shared" si="1"/>
        <v>0.00285590257945121</v>
      </c>
      <c r="G25">
        <f t="shared" si="2"/>
        <v>5.85462948049999</v>
      </c>
      <c r="H25">
        <f>$N$5+$N$6*F25</f>
        <v>0</v>
      </c>
      <c r="I25">
        <f t="shared" si="3"/>
        <v>5.85462948049999</v>
      </c>
      <c r="J25">
        <f t="shared" si="4"/>
        <v>0</v>
      </c>
      <c r="K25">
        <f t="shared" si="5"/>
        <v>0.3689362</v>
      </c>
    </row>
    <row r="26" spans="1:11">
      <c r="A26">
        <v>25</v>
      </c>
      <c r="B26">
        <v>78.999</v>
      </c>
      <c r="C26">
        <v>318.28605</v>
      </c>
      <c r="D26">
        <v>0.3608736</v>
      </c>
      <c r="E26">
        <f t="shared" si="0"/>
        <v>352.149</v>
      </c>
      <c r="F26">
        <f t="shared" si="1"/>
        <v>0.00283970705582012</v>
      </c>
      <c r="G26">
        <f t="shared" si="2"/>
        <v>5.76295050674894</v>
      </c>
      <c r="H26">
        <f>$N$5+$N$6*F26</f>
        <v>0</v>
      </c>
      <c r="I26">
        <f t="shared" si="3"/>
        <v>5.76295050674894</v>
      </c>
      <c r="J26">
        <f t="shared" si="4"/>
        <v>0</v>
      </c>
      <c r="K26">
        <f t="shared" si="5"/>
        <v>0.3608736</v>
      </c>
    </row>
    <row r="27" spans="1:11">
      <c r="A27">
        <v>26</v>
      </c>
      <c r="B27">
        <v>81.006</v>
      </c>
      <c r="C27">
        <v>290.690499</v>
      </c>
      <c r="D27">
        <v>0.35292008</v>
      </c>
      <c r="E27">
        <f t="shared" si="0"/>
        <v>354.156</v>
      </c>
      <c r="F27">
        <f t="shared" si="1"/>
        <v>0.00282361445238821</v>
      </c>
      <c r="G27">
        <f t="shared" si="2"/>
        <v>5.67225912385219</v>
      </c>
      <c r="H27">
        <f>$N$5+$N$6*F27</f>
        <v>0</v>
      </c>
      <c r="I27">
        <f t="shared" si="3"/>
        <v>5.67225912385219</v>
      </c>
      <c r="J27">
        <f t="shared" si="4"/>
        <v>0</v>
      </c>
      <c r="K27">
        <f t="shared" si="5"/>
        <v>0.35292008</v>
      </c>
    </row>
    <row r="28" spans="1:11">
      <c r="A28">
        <v>27</v>
      </c>
      <c r="B28">
        <v>82.998</v>
      </c>
      <c r="C28">
        <v>273.156719</v>
      </c>
      <c r="D28">
        <v>0.34733679</v>
      </c>
      <c r="E28">
        <f t="shared" si="0"/>
        <v>356.148</v>
      </c>
      <c r="F28">
        <f t="shared" si="1"/>
        <v>0.00280782146747981</v>
      </c>
      <c r="G28">
        <f t="shared" si="2"/>
        <v>5.61004569274531</v>
      </c>
      <c r="H28">
        <f>$N$5+$N$6*F28</f>
        <v>0</v>
      </c>
      <c r="I28">
        <f t="shared" si="3"/>
        <v>5.61004569274531</v>
      </c>
      <c r="J28">
        <f t="shared" si="4"/>
        <v>0</v>
      </c>
      <c r="K28">
        <f t="shared" si="5"/>
        <v>0.34733679</v>
      </c>
    </row>
    <row r="29" spans="1:11">
      <c r="A29">
        <v>28</v>
      </c>
      <c r="B29">
        <v>84.997</v>
      </c>
      <c r="C29">
        <v>256.750092</v>
      </c>
      <c r="D29">
        <v>0.34164359</v>
      </c>
      <c r="E29">
        <f t="shared" si="0"/>
        <v>358.147</v>
      </c>
      <c r="F29">
        <f t="shared" si="1"/>
        <v>0.00279214959220655</v>
      </c>
      <c r="G29">
        <f t="shared" si="2"/>
        <v>5.54810320713382</v>
      </c>
      <c r="H29">
        <f>$N$5+$N$6*F29</f>
        <v>0</v>
      </c>
      <c r="I29">
        <f t="shared" si="3"/>
        <v>5.54810320713382</v>
      </c>
      <c r="J29">
        <f t="shared" si="4"/>
        <v>0</v>
      </c>
      <c r="K29">
        <f t="shared" si="5"/>
        <v>0.34164359</v>
      </c>
    </row>
    <row r="30" spans="1:11">
      <c r="A30">
        <v>29</v>
      </c>
      <c r="B30">
        <v>87.006</v>
      </c>
      <c r="C30">
        <v>241.122648</v>
      </c>
      <c r="D30">
        <v>0.33580246</v>
      </c>
      <c r="E30">
        <f t="shared" si="0"/>
        <v>360.156</v>
      </c>
      <c r="F30">
        <f t="shared" si="1"/>
        <v>0.00277657459545308</v>
      </c>
      <c r="G30">
        <f t="shared" si="2"/>
        <v>5.48530571690149</v>
      </c>
      <c r="H30">
        <f>$N$5+$N$6*F30</f>
        <v>0</v>
      </c>
      <c r="I30">
        <f t="shared" si="3"/>
        <v>5.48530571690149</v>
      </c>
      <c r="J30">
        <f t="shared" si="4"/>
        <v>0</v>
      </c>
      <c r="K30">
        <f t="shared" si="5"/>
        <v>0.33580246</v>
      </c>
    </row>
    <row r="31" spans="1:11">
      <c r="A31">
        <v>30</v>
      </c>
      <c r="B31">
        <v>89.003</v>
      </c>
      <c r="C31">
        <v>227.518572</v>
      </c>
      <c r="D31">
        <v>0.33039608</v>
      </c>
      <c r="E31">
        <f t="shared" si="0"/>
        <v>362.153</v>
      </c>
      <c r="F31">
        <f t="shared" si="1"/>
        <v>0.00276126388570577</v>
      </c>
      <c r="G31">
        <f t="shared" si="2"/>
        <v>5.42723187022387</v>
      </c>
      <c r="H31">
        <f>$N$5+$N$6*F31</f>
        <v>0</v>
      </c>
      <c r="I31">
        <f t="shared" si="3"/>
        <v>5.42723187022387</v>
      </c>
      <c r="J31">
        <f t="shared" si="4"/>
        <v>0</v>
      </c>
      <c r="K31">
        <f t="shared" si="5"/>
        <v>0.33039608</v>
      </c>
    </row>
    <row r="34" spans="1:2">
      <c r="A34" t="s">
        <v>11</v>
      </c>
      <c r="B34" t="s">
        <v>23</v>
      </c>
    </row>
    <row r="36" spans="1:2">
      <c r="A36" s="1" t="s">
        <v>13</v>
      </c>
      <c r="B36" t="s">
        <v>14</v>
      </c>
    </row>
    <row r="37" spans="1:2">
      <c r="A37" t="s">
        <v>15</v>
      </c>
      <c r="B37">
        <f>INTERCEPT(G2:G31,F2:F31)</f>
        <v>-5.21382692238559</v>
      </c>
    </row>
    <row r="38" spans="1:2">
      <c r="A38" t="s">
        <v>16</v>
      </c>
      <c r="B38">
        <f>SLOPE(G2:G31,F2:F31)</f>
        <v>3873.09696148824</v>
      </c>
    </row>
    <row r="39" spans="1:2">
      <c r="A39" t="s">
        <v>17</v>
      </c>
      <c r="B39">
        <f>CORREL(F2:F31,G2:G31)</f>
        <v>0.998346448117286</v>
      </c>
    </row>
    <row r="40" spans="1:2">
      <c r="A40" t="s">
        <v>18</v>
      </c>
      <c r="B40">
        <f>RSQ(G2:G31,F2:F31)</f>
        <v>0.996695630468402</v>
      </c>
    </row>
    <row r="41" spans="1:2">
      <c r="A41" t="s">
        <v>19</v>
      </c>
      <c r="B41">
        <f>SUMSQ(I2:I31)</f>
        <v>1256.62376221323</v>
      </c>
    </row>
    <row r="45" spans="1:2">
      <c r="A45" s="1" t="s">
        <v>20</v>
      </c>
      <c r="B45" t="s">
        <v>14</v>
      </c>
    </row>
    <row r="46" spans="1:2">
      <c r="A46" t="s">
        <v>15</v>
      </c>
      <c r="B46">
        <f>INTERCEPT(D2:D31,E2:E31)</f>
        <v>1.29422379956933</v>
      </c>
    </row>
    <row r="47" spans="1:2">
      <c r="A47" t="s">
        <v>16</v>
      </c>
      <c r="B47">
        <f>SLOPE(D2:D31,E2:E31)</f>
        <v>-0.00264553947380016</v>
      </c>
    </row>
    <row r="48" spans="1:2">
      <c r="A48" t="s">
        <v>17</v>
      </c>
      <c r="B48">
        <f>CORREL(E2:E31,D2:D31)</f>
        <v>-0.997061161231692</v>
      </c>
    </row>
    <row r="49" spans="1:2">
      <c r="A49" t="s">
        <v>18</v>
      </c>
      <c r="B49">
        <f>RSQ(D2:D31,E2:E31)</f>
        <v>0.99413095923669</v>
      </c>
    </row>
    <row r="50" spans="1:2">
      <c r="A50" t="s">
        <v>19</v>
      </c>
      <c r="B50">
        <f>SUMSQ(K2:K31)</f>
        <v>5.17688469719671</v>
      </c>
    </row>
    <row r="53" spans="1:2">
      <c r="A53" t="s">
        <v>21</v>
      </c>
      <c r="B53" t="s">
        <v>22</v>
      </c>
    </row>
  </sheetData>
  <autoFilter ref="A1:K31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3"/>
  <sheetViews>
    <sheetView tabSelected="1" zoomScale="85" zoomScaleNormal="85" topLeftCell="A13" workbookViewId="0">
      <selection activeCell="I61" sqref="I61"/>
    </sheetView>
  </sheetViews>
  <sheetFormatPr defaultColWidth="9.81818181818182" defaultRowHeight="14.5"/>
  <cols>
    <col min="1" max="1" width="10.0545454545455" customWidth="1"/>
    <col min="2" max="11" width="16" customWidth="1"/>
    <col min="13" max="16" width="2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25.032</v>
      </c>
      <c r="C2">
        <v>1743.88577</v>
      </c>
      <c r="D2">
        <v>0.48445156</v>
      </c>
      <c r="E2">
        <f t="shared" ref="E2:E34" si="0">B2+273.15</f>
        <v>298.182</v>
      </c>
      <c r="F2">
        <f t="shared" ref="F2:F34" si="1">1/E2</f>
        <v>0.00335365649167287</v>
      </c>
      <c r="G2">
        <f t="shared" ref="G2:G34" si="2">LN(C2)</f>
        <v>7.46387110347057</v>
      </c>
      <c r="H2">
        <f>$N$5+$N$6*F2</f>
        <v>0</v>
      </c>
      <c r="I2">
        <f t="shared" ref="I2:I34" si="3">G2-H2</f>
        <v>7.46387110347057</v>
      </c>
      <c r="J2">
        <f t="shared" ref="J2:J34" si="4">$N$14+$N$15*E2</f>
        <v>0</v>
      </c>
      <c r="K2">
        <f t="shared" ref="K2:K34" si="5">D2-J2</f>
        <v>0.48445156</v>
      </c>
    </row>
    <row r="3" spans="1:11">
      <c r="A3">
        <v>2</v>
      </c>
      <c r="B3">
        <v>27.007</v>
      </c>
      <c r="C3">
        <v>1614.194877</v>
      </c>
      <c r="D3">
        <v>0.47972515</v>
      </c>
      <c r="E3">
        <f t="shared" si="0"/>
        <v>300.157</v>
      </c>
      <c r="F3">
        <f t="shared" si="1"/>
        <v>0.0033315898013373</v>
      </c>
      <c r="G3">
        <f t="shared" si="2"/>
        <v>7.3865915831769</v>
      </c>
      <c r="H3">
        <f>$N$5+$N$6*F3</f>
        <v>0</v>
      </c>
      <c r="I3">
        <f t="shared" si="3"/>
        <v>7.3865915831769</v>
      </c>
      <c r="J3">
        <f t="shared" si="4"/>
        <v>0</v>
      </c>
      <c r="K3">
        <f t="shared" si="5"/>
        <v>0.47972515</v>
      </c>
    </row>
    <row r="4" spans="1:11">
      <c r="A4">
        <v>3</v>
      </c>
      <c r="B4">
        <v>28.989</v>
      </c>
      <c r="C4">
        <v>1494.110763</v>
      </c>
      <c r="D4">
        <v>0.47465482</v>
      </c>
      <c r="E4">
        <f t="shared" si="0"/>
        <v>302.139</v>
      </c>
      <c r="F4">
        <f t="shared" si="1"/>
        <v>0.00330973492332999</v>
      </c>
      <c r="G4">
        <f t="shared" si="2"/>
        <v>7.30928650149885</v>
      </c>
      <c r="H4">
        <f>$N$5+$N$6*F4</f>
        <v>0</v>
      </c>
      <c r="I4">
        <f t="shared" si="3"/>
        <v>7.30928650149885</v>
      </c>
      <c r="J4">
        <f t="shared" si="4"/>
        <v>0</v>
      </c>
      <c r="K4">
        <f t="shared" si="5"/>
        <v>0.47465482</v>
      </c>
    </row>
    <row r="5" spans="1:11">
      <c r="A5">
        <v>4</v>
      </c>
      <c r="B5">
        <v>30.986</v>
      </c>
      <c r="C5">
        <v>1760.565892</v>
      </c>
      <c r="D5">
        <v>0.48465338</v>
      </c>
      <c r="E5">
        <f t="shared" si="0"/>
        <v>304.136</v>
      </c>
      <c r="F5">
        <f t="shared" si="1"/>
        <v>0.00328800273561828</v>
      </c>
      <c r="G5">
        <f t="shared" si="2"/>
        <v>7.47339056589811</v>
      </c>
      <c r="H5">
        <f>$N$5+$N$6*F5</f>
        <v>0</v>
      </c>
      <c r="I5">
        <f t="shared" si="3"/>
        <v>7.47339056589811</v>
      </c>
      <c r="J5">
        <f t="shared" si="4"/>
        <v>0</v>
      </c>
      <c r="K5">
        <f t="shared" si="5"/>
        <v>0.48465338</v>
      </c>
    </row>
    <row r="6" spans="1:11">
      <c r="A6">
        <v>5</v>
      </c>
      <c r="B6">
        <v>33.01</v>
      </c>
      <c r="C6">
        <v>1630.267926</v>
      </c>
      <c r="D6">
        <v>0.48003009</v>
      </c>
      <c r="E6">
        <f t="shared" si="0"/>
        <v>306.16</v>
      </c>
      <c r="F6">
        <f t="shared" si="1"/>
        <v>0.00326626600470342</v>
      </c>
      <c r="G6">
        <f t="shared" si="2"/>
        <v>7.39649965207239</v>
      </c>
      <c r="H6">
        <f>$N$5+$N$6*F6</f>
        <v>0</v>
      </c>
      <c r="I6">
        <f t="shared" si="3"/>
        <v>7.39649965207239</v>
      </c>
      <c r="J6">
        <f t="shared" si="4"/>
        <v>0</v>
      </c>
      <c r="K6">
        <f t="shared" si="5"/>
        <v>0.48003009</v>
      </c>
    </row>
    <row r="7" spans="1:11">
      <c r="A7">
        <v>6</v>
      </c>
      <c r="B7">
        <v>35.005</v>
      </c>
      <c r="C7">
        <v>1512.903125</v>
      </c>
      <c r="D7">
        <v>0.4754658</v>
      </c>
      <c r="E7">
        <f t="shared" si="0"/>
        <v>308.155</v>
      </c>
      <c r="F7">
        <f t="shared" si="1"/>
        <v>0.00324512015057358</v>
      </c>
      <c r="G7">
        <f t="shared" si="2"/>
        <v>7.32178568331809</v>
      </c>
      <c r="H7">
        <f>$N$5+$N$6*F7</f>
        <v>0</v>
      </c>
      <c r="I7">
        <f t="shared" si="3"/>
        <v>7.32178568331809</v>
      </c>
      <c r="J7">
        <f t="shared" si="4"/>
        <v>0</v>
      </c>
      <c r="K7">
        <f t="shared" si="5"/>
        <v>0.4754658</v>
      </c>
    </row>
    <row r="8" spans="1:11">
      <c r="A8">
        <v>7</v>
      </c>
      <c r="B8">
        <v>37.003</v>
      </c>
      <c r="C8">
        <v>1404.255772</v>
      </c>
      <c r="D8">
        <v>0.47084692</v>
      </c>
      <c r="E8">
        <f t="shared" si="0"/>
        <v>310.153</v>
      </c>
      <c r="F8">
        <f t="shared" si="1"/>
        <v>0.00322421514542822</v>
      </c>
      <c r="G8">
        <f t="shared" si="2"/>
        <v>7.2472627417833</v>
      </c>
      <c r="H8">
        <f>$N$5+$N$6*F8</f>
        <v>0</v>
      </c>
      <c r="I8">
        <f t="shared" si="3"/>
        <v>7.2472627417833</v>
      </c>
      <c r="J8">
        <f t="shared" si="4"/>
        <v>0</v>
      </c>
      <c r="K8">
        <f t="shared" si="5"/>
        <v>0.47084692</v>
      </c>
    </row>
    <row r="9" spans="1:11">
      <c r="A9">
        <v>8</v>
      </c>
      <c r="B9">
        <v>39.011</v>
      </c>
      <c r="C9">
        <v>1304.750818</v>
      </c>
      <c r="D9">
        <v>0.466221</v>
      </c>
      <c r="E9">
        <f t="shared" si="0"/>
        <v>312.161</v>
      </c>
      <c r="F9">
        <f t="shared" si="1"/>
        <v>0.00320347512982083</v>
      </c>
      <c r="G9">
        <f t="shared" si="2"/>
        <v>7.17376735746335</v>
      </c>
      <c r="H9">
        <f>$N$5+$N$6*F9</f>
        <v>0</v>
      </c>
      <c r="I9">
        <f t="shared" si="3"/>
        <v>7.17376735746335</v>
      </c>
      <c r="J9">
        <f t="shared" si="4"/>
        <v>0</v>
      </c>
      <c r="K9">
        <f t="shared" si="5"/>
        <v>0.466221</v>
      </c>
    </row>
    <row r="10" spans="1:11">
      <c r="A10">
        <v>9</v>
      </c>
      <c r="B10">
        <v>41</v>
      </c>
      <c r="C10">
        <v>1214.218659</v>
      </c>
      <c r="D10">
        <v>0.46163335</v>
      </c>
      <c r="E10">
        <f t="shared" si="0"/>
        <v>314.15</v>
      </c>
      <c r="F10">
        <f t="shared" si="1"/>
        <v>0.00318319274232055</v>
      </c>
      <c r="G10">
        <f t="shared" si="2"/>
        <v>7.1018560698983</v>
      </c>
      <c r="H10">
        <f>$N$5+$N$6*F10</f>
        <v>0</v>
      </c>
      <c r="I10">
        <f t="shared" si="3"/>
        <v>7.1018560698983</v>
      </c>
      <c r="J10">
        <f t="shared" si="4"/>
        <v>0</v>
      </c>
      <c r="K10">
        <f t="shared" si="5"/>
        <v>0.46163335</v>
      </c>
    </row>
    <row r="11" spans="1:11">
      <c r="A11">
        <v>10</v>
      </c>
      <c r="B11">
        <v>43.003</v>
      </c>
      <c r="C11">
        <v>1131.117203</v>
      </c>
      <c r="D11">
        <v>0.45703664</v>
      </c>
      <c r="E11">
        <f t="shared" si="0"/>
        <v>316.153</v>
      </c>
      <c r="F11">
        <f t="shared" si="1"/>
        <v>0.00316302549714853</v>
      </c>
      <c r="G11">
        <f t="shared" si="2"/>
        <v>7.03096109851018</v>
      </c>
      <c r="H11">
        <f>$N$5+$N$6*F11</f>
        <v>0</v>
      </c>
      <c r="I11">
        <f t="shared" si="3"/>
        <v>7.03096109851018</v>
      </c>
      <c r="J11">
        <f t="shared" si="4"/>
        <v>0</v>
      </c>
      <c r="K11">
        <f t="shared" si="5"/>
        <v>0.45703664</v>
      </c>
    </row>
    <row r="12" spans="1:11">
      <c r="A12">
        <v>11</v>
      </c>
      <c r="B12">
        <v>44.996</v>
      </c>
      <c r="C12">
        <v>1053.500059</v>
      </c>
      <c r="D12">
        <v>0.45236984</v>
      </c>
      <c r="E12">
        <f t="shared" si="0"/>
        <v>318.146</v>
      </c>
      <c r="F12">
        <f t="shared" si="1"/>
        <v>0.00314321097860731</v>
      </c>
      <c r="G12">
        <f t="shared" si="2"/>
        <v>6.95987328924804</v>
      </c>
      <c r="H12">
        <f>$N$5+$N$6*F12</f>
        <v>0</v>
      </c>
      <c r="I12">
        <f t="shared" si="3"/>
        <v>6.95987328924804</v>
      </c>
      <c r="J12">
        <f t="shared" si="4"/>
        <v>0</v>
      </c>
      <c r="K12">
        <f t="shared" si="5"/>
        <v>0.45236984</v>
      </c>
    </row>
    <row r="13" spans="1:11">
      <c r="A13">
        <v>12</v>
      </c>
      <c r="B13">
        <v>47.004</v>
      </c>
      <c r="C13">
        <v>982.449948</v>
      </c>
      <c r="D13">
        <v>0.44771328</v>
      </c>
      <c r="E13">
        <f t="shared" si="0"/>
        <v>320.154</v>
      </c>
      <c r="F13">
        <f t="shared" si="1"/>
        <v>0.00312349681715674</v>
      </c>
      <c r="G13">
        <f t="shared" si="2"/>
        <v>6.8900493989343</v>
      </c>
      <c r="H13">
        <f>$N$5+$N$6*F13</f>
        <v>0</v>
      </c>
      <c r="I13">
        <f t="shared" si="3"/>
        <v>6.8900493989343</v>
      </c>
      <c r="J13">
        <f t="shared" si="4"/>
        <v>0</v>
      </c>
      <c r="K13">
        <f t="shared" si="5"/>
        <v>0.44771328</v>
      </c>
    </row>
    <row r="14" spans="1:11">
      <c r="A14">
        <v>13</v>
      </c>
      <c r="B14">
        <v>48.993</v>
      </c>
      <c r="C14">
        <v>917.612011</v>
      </c>
      <c r="D14">
        <v>0.44309261</v>
      </c>
      <c r="E14">
        <f t="shared" si="0"/>
        <v>322.143</v>
      </c>
      <c r="F14">
        <f t="shared" si="1"/>
        <v>0.00310421148371996</v>
      </c>
      <c r="G14">
        <f t="shared" si="2"/>
        <v>6.82177465531101</v>
      </c>
      <c r="H14">
        <f>$N$5+$N$6*F14</f>
        <v>0</v>
      </c>
      <c r="I14">
        <f t="shared" si="3"/>
        <v>6.82177465531101</v>
      </c>
      <c r="J14">
        <f t="shared" si="4"/>
        <v>0</v>
      </c>
      <c r="K14">
        <f t="shared" si="5"/>
        <v>0.44309261</v>
      </c>
    </row>
    <row r="15" spans="1:11">
      <c r="A15">
        <v>14</v>
      </c>
      <c r="B15">
        <v>50.99</v>
      </c>
      <c r="C15">
        <v>857.253901</v>
      </c>
      <c r="D15">
        <v>0.43841973</v>
      </c>
      <c r="E15">
        <f t="shared" si="0"/>
        <v>324.14</v>
      </c>
      <c r="F15">
        <f t="shared" si="1"/>
        <v>0.00308508669093602</v>
      </c>
      <c r="G15">
        <f t="shared" si="2"/>
        <v>6.75373414193052</v>
      </c>
      <c r="H15">
        <f>$N$5+$N$6*F15</f>
        <v>0</v>
      </c>
      <c r="I15">
        <f t="shared" si="3"/>
        <v>6.75373414193052</v>
      </c>
      <c r="J15">
        <f t="shared" si="4"/>
        <v>0</v>
      </c>
      <c r="K15">
        <f t="shared" si="5"/>
        <v>0.43841973</v>
      </c>
    </row>
    <row r="16" spans="1:11">
      <c r="A16">
        <v>15</v>
      </c>
      <c r="B16">
        <v>53.007</v>
      </c>
      <c r="C16">
        <v>800.164598</v>
      </c>
      <c r="D16">
        <v>0.43361416</v>
      </c>
      <c r="E16">
        <f t="shared" si="0"/>
        <v>326.157</v>
      </c>
      <c r="F16">
        <f t="shared" si="1"/>
        <v>0.00306600808812934</v>
      </c>
      <c r="G16">
        <f t="shared" si="2"/>
        <v>6.68481745400481</v>
      </c>
      <c r="H16">
        <f>$N$5+$N$6*F16</f>
        <v>0</v>
      </c>
      <c r="I16">
        <f t="shared" si="3"/>
        <v>6.68481745400481</v>
      </c>
      <c r="J16">
        <f t="shared" si="4"/>
        <v>0</v>
      </c>
      <c r="K16">
        <f t="shared" si="5"/>
        <v>0.43361416</v>
      </c>
    </row>
    <row r="17" spans="1:11">
      <c r="A17">
        <v>16</v>
      </c>
      <c r="B17">
        <v>55.001</v>
      </c>
      <c r="C17">
        <v>748.279855</v>
      </c>
      <c r="D17">
        <v>0.4288651</v>
      </c>
      <c r="E17">
        <f t="shared" si="0"/>
        <v>328.151</v>
      </c>
      <c r="F17">
        <f t="shared" si="1"/>
        <v>0.0030473775792242</v>
      </c>
      <c r="G17">
        <f t="shared" si="2"/>
        <v>6.61777704570295</v>
      </c>
      <c r="H17">
        <f>$N$5+$N$6*F17</f>
        <v>0</v>
      </c>
      <c r="I17">
        <f t="shared" si="3"/>
        <v>6.61777704570295</v>
      </c>
      <c r="J17">
        <f t="shared" si="4"/>
        <v>0</v>
      </c>
      <c r="K17">
        <f t="shared" si="5"/>
        <v>0.4288651</v>
      </c>
    </row>
    <row r="18" spans="1:11">
      <c r="A18">
        <v>17</v>
      </c>
      <c r="B18">
        <v>57.002</v>
      </c>
      <c r="C18">
        <v>699.506205</v>
      </c>
      <c r="D18">
        <v>0.42401757</v>
      </c>
      <c r="E18">
        <f t="shared" si="0"/>
        <v>330.152</v>
      </c>
      <c r="F18">
        <f t="shared" si="1"/>
        <v>0.00302890789696867</v>
      </c>
      <c r="G18">
        <f t="shared" si="2"/>
        <v>6.55037466468807</v>
      </c>
      <c r="H18">
        <f>$N$5+$N$6*F18</f>
        <v>0</v>
      </c>
      <c r="I18">
        <f t="shared" si="3"/>
        <v>6.55037466468807</v>
      </c>
      <c r="J18">
        <f t="shared" si="4"/>
        <v>0</v>
      </c>
      <c r="K18">
        <f t="shared" si="5"/>
        <v>0.42401757</v>
      </c>
    </row>
    <row r="19" spans="1:11">
      <c r="A19">
        <v>18</v>
      </c>
      <c r="B19">
        <v>59.009</v>
      </c>
      <c r="C19">
        <v>654.490778</v>
      </c>
      <c r="D19">
        <v>0.41915705</v>
      </c>
      <c r="E19">
        <f t="shared" si="0"/>
        <v>332.159</v>
      </c>
      <c r="F19">
        <f t="shared" si="1"/>
        <v>0.00301060636622822</v>
      </c>
      <c r="G19">
        <f t="shared" si="2"/>
        <v>6.48385749510554</v>
      </c>
      <c r="H19">
        <f>$N$5+$N$6*F19</f>
        <v>0</v>
      </c>
      <c r="I19">
        <f t="shared" si="3"/>
        <v>6.48385749510554</v>
      </c>
      <c r="J19">
        <f t="shared" si="4"/>
        <v>0</v>
      </c>
      <c r="K19">
        <f t="shared" si="5"/>
        <v>0.41915705</v>
      </c>
    </row>
    <row r="20" spans="1:11">
      <c r="A20">
        <v>19</v>
      </c>
      <c r="B20">
        <v>61.005</v>
      </c>
      <c r="C20">
        <v>612.033195</v>
      </c>
      <c r="D20">
        <v>0.41417625</v>
      </c>
      <c r="E20">
        <f t="shared" si="0"/>
        <v>334.155</v>
      </c>
      <c r="F20">
        <f t="shared" si="1"/>
        <v>0.00299262318385181</v>
      </c>
      <c r="G20">
        <f t="shared" si="2"/>
        <v>6.41678652123746</v>
      </c>
      <c r="H20">
        <f>$N$5+$N$6*F20</f>
        <v>0</v>
      </c>
      <c r="I20">
        <f t="shared" si="3"/>
        <v>6.41678652123746</v>
      </c>
      <c r="J20">
        <f t="shared" si="4"/>
        <v>0</v>
      </c>
      <c r="K20">
        <f t="shared" si="5"/>
        <v>0.41417625</v>
      </c>
    </row>
    <row r="21" spans="1:11">
      <c r="A21">
        <v>20</v>
      </c>
      <c r="B21">
        <v>62.998</v>
      </c>
      <c r="C21">
        <v>572.299932</v>
      </c>
      <c r="D21">
        <v>0.40910723</v>
      </c>
      <c r="E21">
        <f t="shared" si="0"/>
        <v>336.148</v>
      </c>
      <c r="F21">
        <f t="shared" si="1"/>
        <v>0.00297488011233147</v>
      </c>
      <c r="G21">
        <f t="shared" si="2"/>
        <v>6.34966321059625</v>
      </c>
      <c r="H21">
        <f>$N$5+$N$6*F21</f>
        <v>0</v>
      </c>
      <c r="I21">
        <f t="shared" si="3"/>
        <v>6.34966321059625</v>
      </c>
      <c r="J21">
        <f t="shared" si="4"/>
        <v>0</v>
      </c>
      <c r="K21">
        <f t="shared" si="5"/>
        <v>0.40910723</v>
      </c>
    </row>
    <row r="22" spans="1:11">
      <c r="A22">
        <v>21</v>
      </c>
      <c r="B22">
        <v>64.998</v>
      </c>
      <c r="C22">
        <v>535.588892</v>
      </c>
      <c r="D22">
        <v>0.4040226</v>
      </c>
      <c r="E22">
        <f t="shared" si="0"/>
        <v>338.148</v>
      </c>
      <c r="F22">
        <f t="shared" si="1"/>
        <v>0.00295728497580941</v>
      </c>
      <c r="G22">
        <f t="shared" si="2"/>
        <v>6.28336687424422</v>
      </c>
      <c r="H22">
        <f>$N$5+$N$6*F22</f>
        <v>0</v>
      </c>
      <c r="I22">
        <f t="shared" si="3"/>
        <v>6.28336687424422</v>
      </c>
      <c r="J22">
        <f t="shared" si="4"/>
        <v>0</v>
      </c>
      <c r="K22">
        <f t="shared" si="5"/>
        <v>0.4040226</v>
      </c>
    </row>
    <row r="23" spans="1:11">
      <c r="A23">
        <v>22</v>
      </c>
      <c r="B23">
        <v>66.999</v>
      </c>
      <c r="C23">
        <v>500.528216</v>
      </c>
      <c r="D23">
        <v>0.39874055</v>
      </c>
      <c r="E23">
        <f t="shared" si="0"/>
        <v>340.149</v>
      </c>
      <c r="F23">
        <f t="shared" si="1"/>
        <v>0.00293988810785861</v>
      </c>
      <c r="G23">
        <f t="shared" si="2"/>
        <v>6.21566397279061</v>
      </c>
      <c r="H23">
        <f>$N$5+$N$6*F23</f>
        <v>0</v>
      </c>
      <c r="I23">
        <f t="shared" si="3"/>
        <v>6.21566397279061</v>
      </c>
      <c r="J23">
        <f t="shared" si="4"/>
        <v>0</v>
      </c>
      <c r="K23">
        <f t="shared" si="5"/>
        <v>0.39874055</v>
      </c>
    </row>
    <row r="24" spans="1:11">
      <c r="A24">
        <v>23</v>
      </c>
      <c r="B24">
        <v>69.006</v>
      </c>
      <c r="C24">
        <v>467.563508</v>
      </c>
      <c r="D24">
        <v>0.39333012</v>
      </c>
      <c r="E24">
        <f t="shared" si="0"/>
        <v>342.156</v>
      </c>
      <c r="F24">
        <f t="shared" si="1"/>
        <v>0.00292264347256807</v>
      </c>
      <c r="G24">
        <f t="shared" si="2"/>
        <v>6.14753518549182</v>
      </c>
      <c r="H24">
        <f>$N$5+$N$6*F24</f>
        <v>0</v>
      </c>
      <c r="I24">
        <f t="shared" si="3"/>
        <v>6.14753518549182</v>
      </c>
      <c r="J24">
        <f t="shared" si="4"/>
        <v>0</v>
      </c>
      <c r="K24">
        <f t="shared" si="5"/>
        <v>0.39333012</v>
      </c>
    </row>
    <row r="25" spans="1:11">
      <c r="A25">
        <v>24</v>
      </c>
      <c r="B25">
        <v>70.998</v>
      </c>
      <c r="C25">
        <v>436.332401</v>
      </c>
      <c r="D25">
        <v>0.38774123</v>
      </c>
      <c r="E25">
        <f t="shared" si="0"/>
        <v>344.148</v>
      </c>
      <c r="F25">
        <f t="shared" si="1"/>
        <v>0.0029057266059951</v>
      </c>
      <c r="G25">
        <f t="shared" si="2"/>
        <v>6.0784043404939</v>
      </c>
      <c r="H25">
        <f>$N$5+$N$6*F25</f>
        <v>0</v>
      </c>
      <c r="I25">
        <f t="shared" si="3"/>
        <v>6.0784043404939</v>
      </c>
      <c r="J25">
        <f t="shared" si="4"/>
        <v>0</v>
      </c>
      <c r="K25">
        <f t="shared" si="5"/>
        <v>0.38774123</v>
      </c>
    </row>
    <row r="26" spans="1:11">
      <c r="A26">
        <v>25</v>
      </c>
      <c r="B26">
        <v>72.991</v>
      </c>
      <c r="C26">
        <v>406.541998</v>
      </c>
      <c r="D26">
        <v>0.38192608</v>
      </c>
      <c r="E26">
        <f t="shared" si="0"/>
        <v>346.141</v>
      </c>
      <c r="F26">
        <f t="shared" si="1"/>
        <v>0.00288899610274426</v>
      </c>
      <c r="G26">
        <f t="shared" si="2"/>
        <v>6.00768723976428</v>
      </c>
      <c r="H26">
        <f>$N$5+$N$6*F26</f>
        <v>0</v>
      </c>
      <c r="I26">
        <f t="shared" si="3"/>
        <v>6.00768723976428</v>
      </c>
      <c r="J26">
        <f t="shared" si="4"/>
        <v>0</v>
      </c>
      <c r="K26">
        <f t="shared" si="5"/>
        <v>0.38192608</v>
      </c>
    </row>
    <row r="27" spans="1:11">
      <c r="A27">
        <v>26</v>
      </c>
      <c r="B27">
        <v>75.004</v>
      </c>
      <c r="C27">
        <v>377.486967</v>
      </c>
      <c r="D27">
        <v>0.37570097</v>
      </c>
      <c r="E27">
        <f t="shared" si="0"/>
        <v>348.154</v>
      </c>
      <c r="F27">
        <f t="shared" si="1"/>
        <v>0.00287229214657881</v>
      </c>
      <c r="G27">
        <f t="shared" si="2"/>
        <v>5.93353604358978</v>
      </c>
      <c r="H27">
        <f>$N$5+$N$6*F27</f>
        <v>0</v>
      </c>
      <c r="I27">
        <f t="shared" si="3"/>
        <v>5.93353604358978</v>
      </c>
      <c r="J27">
        <f t="shared" si="4"/>
        <v>0</v>
      </c>
      <c r="K27">
        <f t="shared" si="5"/>
        <v>0.37570097</v>
      </c>
    </row>
    <row r="28" spans="1:11">
      <c r="A28">
        <v>27</v>
      </c>
      <c r="B28">
        <v>77.002</v>
      </c>
      <c r="C28">
        <v>348.845622</v>
      </c>
      <c r="D28">
        <v>0.3689362</v>
      </c>
      <c r="E28">
        <f t="shared" si="0"/>
        <v>350.152</v>
      </c>
      <c r="F28">
        <f t="shared" si="1"/>
        <v>0.00285590257945121</v>
      </c>
      <c r="G28">
        <f t="shared" si="2"/>
        <v>5.85462948049999</v>
      </c>
      <c r="H28">
        <f>$N$5+$N$6*F28</f>
        <v>0</v>
      </c>
      <c r="I28">
        <f t="shared" si="3"/>
        <v>5.85462948049999</v>
      </c>
      <c r="J28">
        <f t="shared" si="4"/>
        <v>0</v>
      </c>
      <c r="K28">
        <f t="shared" si="5"/>
        <v>0.3689362</v>
      </c>
    </row>
    <row r="29" spans="1:11">
      <c r="A29">
        <v>28</v>
      </c>
      <c r="B29">
        <v>78.999</v>
      </c>
      <c r="C29">
        <v>318.28605</v>
      </c>
      <c r="D29">
        <v>0.3608736</v>
      </c>
      <c r="E29">
        <f t="shared" si="0"/>
        <v>352.149</v>
      </c>
      <c r="F29">
        <f t="shared" si="1"/>
        <v>0.00283970705582012</v>
      </c>
      <c r="G29">
        <f t="shared" si="2"/>
        <v>5.76295050674894</v>
      </c>
      <c r="H29">
        <f>$N$5+$N$6*F29</f>
        <v>0</v>
      </c>
      <c r="I29">
        <f t="shared" si="3"/>
        <v>5.76295050674894</v>
      </c>
      <c r="J29">
        <f t="shared" si="4"/>
        <v>0</v>
      </c>
      <c r="K29">
        <f t="shared" si="5"/>
        <v>0.3608736</v>
      </c>
    </row>
    <row r="30" spans="1:11">
      <c r="A30">
        <v>29</v>
      </c>
      <c r="B30">
        <v>81.006</v>
      </c>
      <c r="C30">
        <v>290.690499</v>
      </c>
      <c r="D30">
        <v>0.35292008</v>
      </c>
      <c r="E30">
        <f t="shared" si="0"/>
        <v>354.156</v>
      </c>
      <c r="F30">
        <f t="shared" si="1"/>
        <v>0.00282361445238821</v>
      </c>
      <c r="G30">
        <f t="shared" si="2"/>
        <v>5.67225912385219</v>
      </c>
      <c r="H30">
        <f>$N$5+$N$6*F30</f>
        <v>0</v>
      </c>
      <c r="I30">
        <f t="shared" si="3"/>
        <v>5.67225912385219</v>
      </c>
      <c r="J30">
        <f t="shared" si="4"/>
        <v>0</v>
      </c>
      <c r="K30">
        <f t="shared" si="5"/>
        <v>0.35292008</v>
      </c>
    </row>
    <row r="31" spans="1:11">
      <c r="A31">
        <v>30</v>
      </c>
      <c r="B31">
        <v>82.998</v>
      </c>
      <c r="C31">
        <v>273.156719</v>
      </c>
      <c r="D31">
        <v>0.34733679</v>
      </c>
      <c r="E31">
        <f t="shared" si="0"/>
        <v>356.148</v>
      </c>
      <c r="F31">
        <f t="shared" si="1"/>
        <v>0.00280782146747981</v>
      </c>
      <c r="G31">
        <f t="shared" si="2"/>
        <v>5.61004569274531</v>
      </c>
      <c r="H31">
        <f>$N$5+$N$6*F31</f>
        <v>0</v>
      </c>
      <c r="I31">
        <f t="shared" si="3"/>
        <v>5.61004569274531</v>
      </c>
      <c r="J31">
        <f t="shared" si="4"/>
        <v>0</v>
      </c>
      <c r="K31">
        <f t="shared" si="5"/>
        <v>0.34733679</v>
      </c>
    </row>
    <row r="32" spans="1:11">
      <c r="A32">
        <v>31</v>
      </c>
      <c r="B32">
        <v>84.997</v>
      </c>
      <c r="C32">
        <v>256.750092</v>
      </c>
      <c r="D32">
        <v>0.34164359</v>
      </c>
      <c r="E32">
        <f t="shared" si="0"/>
        <v>358.147</v>
      </c>
      <c r="F32">
        <f t="shared" si="1"/>
        <v>0.00279214959220655</v>
      </c>
      <c r="G32">
        <f t="shared" si="2"/>
        <v>5.54810320713382</v>
      </c>
      <c r="H32">
        <f>$N$5+$N$6*F32</f>
        <v>0</v>
      </c>
      <c r="I32">
        <f t="shared" si="3"/>
        <v>5.54810320713382</v>
      </c>
      <c r="J32">
        <f t="shared" si="4"/>
        <v>0</v>
      </c>
      <c r="K32">
        <f t="shared" si="5"/>
        <v>0.34164359</v>
      </c>
    </row>
    <row r="33" spans="1:11">
      <c r="A33">
        <v>32</v>
      </c>
      <c r="B33">
        <v>87.006</v>
      </c>
      <c r="C33">
        <v>241.122648</v>
      </c>
      <c r="D33">
        <v>0.33580246</v>
      </c>
      <c r="E33">
        <f t="shared" si="0"/>
        <v>360.156</v>
      </c>
      <c r="F33">
        <f t="shared" si="1"/>
        <v>0.00277657459545308</v>
      </c>
      <c r="G33">
        <f t="shared" si="2"/>
        <v>5.48530571690149</v>
      </c>
      <c r="H33">
        <f>$N$5+$N$6*F33</f>
        <v>0</v>
      </c>
      <c r="I33">
        <f t="shared" si="3"/>
        <v>5.48530571690149</v>
      </c>
      <c r="J33">
        <f t="shared" si="4"/>
        <v>0</v>
      </c>
      <c r="K33">
        <f t="shared" si="5"/>
        <v>0.33580246</v>
      </c>
    </row>
    <row r="34" spans="1:11">
      <c r="A34">
        <v>33</v>
      </c>
      <c r="B34">
        <v>89.003</v>
      </c>
      <c r="C34">
        <v>227.518572</v>
      </c>
      <c r="D34">
        <v>0.33039608</v>
      </c>
      <c r="E34">
        <f t="shared" si="0"/>
        <v>362.153</v>
      </c>
      <c r="F34">
        <f t="shared" si="1"/>
        <v>0.00276126388570577</v>
      </c>
      <c r="G34">
        <f t="shared" si="2"/>
        <v>5.42723187022387</v>
      </c>
      <c r="H34">
        <f>$N$5+$N$6*F34</f>
        <v>0</v>
      </c>
      <c r="I34">
        <f t="shared" si="3"/>
        <v>5.42723187022387</v>
      </c>
      <c r="J34">
        <f t="shared" si="4"/>
        <v>0</v>
      </c>
      <c r="K34">
        <f t="shared" si="5"/>
        <v>0.33039608</v>
      </c>
    </row>
    <row r="37" spans="1:2">
      <c r="A37" t="s">
        <v>11</v>
      </c>
      <c r="B37" t="s">
        <v>24</v>
      </c>
    </row>
    <row r="39" spans="1:2">
      <c r="A39" s="1" t="s">
        <v>13</v>
      </c>
      <c r="B39" t="s">
        <v>14</v>
      </c>
    </row>
    <row r="40" spans="1:2">
      <c r="A40" t="s">
        <v>15</v>
      </c>
      <c r="B40">
        <f>INTERCEPT(G2:G34,F2:F34)</f>
        <v>-4.4483539793055</v>
      </c>
    </row>
    <row r="41" spans="1:2">
      <c r="A41" t="s">
        <v>16</v>
      </c>
      <c r="B41">
        <f>SLOPE(G2:G34,F2:F34)</f>
        <v>3612.14087229001</v>
      </c>
    </row>
    <row r="42" spans="1:2">
      <c r="A42" t="s">
        <v>17</v>
      </c>
      <c r="B42">
        <f>CORREL(F2:F34,G2:G34)</f>
        <v>0.991911938311968</v>
      </c>
    </row>
    <row r="43" spans="1:2">
      <c r="A43" t="s">
        <v>18</v>
      </c>
      <c r="B43">
        <f>RSQ(G2:G34,F2:F34)</f>
        <v>0.983889293365809</v>
      </c>
    </row>
    <row r="44" spans="1:2">
      <c r="A44" t="s">
        <v>19</v>
      </c>
      <c r="B44">
        <f>SUMSQ(I2:I34)</f>
        <v>1420.32053844011</v>
      </c>
    </row>
    <row r="48" spans="1:2">
      <c r="A48" s="1" t="s">
        <v>20</v>
      </c>
      <c r="B48" t="s">
        <v>14</v>
      </c>
    </row>
    <row r="49" spans="1:2">
      <c r="A49" t="s">
        <v>15</v>
      </c>
      <c r="B49">
        <f>INTERCEPT(D2:D34,E2:E34)</f>
        <v>1.24135562865815</v>
      </c>
    </row>
    <row r="50" spans="1:2">
      <c r="A50" t="s">
        <v>16</v>
      </c>
      <c r="B50">
        <f>SLOPE(D2:D34,E2:E34)</f>
        <v>-0.00249105956284924</v>
      </c>
    </row>
    <row r="51" spans="1:2">
      <c r="A51" t="s">
        <v>17</v>
      </c>
      <c r="B51">
        <f>CORREL(E2:E34,D2:D34)</f>
        <v>-0.991782341535895</v>
      </c>
    </row>
    <row r="52" spans="1:2">
      <c r="A52" t="s">
        <v>18</v>
      </c>
      <c r="B52">
        <f>RSQ(D2:D34,E2:E34)</f>
        <v>0.983632212982423</v>
      </c>
    </row>
    <row r="53" spans="1:2">
      <c r="A53" t="s">
        <v>19</v>
      </c>
      <c r="B53">
        <f>SUMSQ(K2:K34)</f>
        <v>5.8670114288749</v>
      </c>
    </row>
  </sheetData>
  <autoFilter ref="A1:K34">
    <extLst/>
  </autoFilter>
  <pageMargins left="0.7" right="0.7" top="0.75" bottom="0.75" header="0.3" footer="0.3"/>
  <pageSetup paperSize="9" scale="5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room_to_30C</vt:lpstr>
      <vt:lpstr>30C_to_90C</vt:lpstr>
      <vt:lpstr>combined_25C_to_90C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陈卓远</cp:lastModifiedBy>
  <dcterms:created xsi:type="dcterms:W3CDTF">2026-05-13T07:19:52Z</dcterms:created>
  <dcterms:modified xsi:type="dcterms:W3CDTF">2026-05-13T09:38:12Z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BCA1957056BB40289C89840761275977_12</vt:lpwstr>
  </property>
  <property fmtid="{D5CDD505-2E9C-101B-9397-08002B2CF9AE}" pid="3" name="KSOProductBuildVer">
    <vt:lpwstr>2052-12.1.0.16910</vt:lpwstr>
  </property>
</Properties>
</file>