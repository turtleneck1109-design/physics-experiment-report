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om_to_30C" sheetId="1" r:id="rId1"/>
    <sheet name="30C_to_90C" sheetId="2" r:id="rId2"/>
  </sheets>
  <calcPr calcId="191029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11" width="16" customWidth="1"/>
    <col min="13" max="16" width="22" customWidth="1"/>
  </cols>
  <sheetData>
    <row r="1">
      <c r="A1" t="inlineStr" s="1">
        <is>
          <t>序号</t>
        </is>
      </c>
      <c r="B1" t="inlineStr" s="1">
        <is>
          <t>t / ℃</t>
        </is>
      </c>
      <c r="C1" t="inlineStr" s="1">
        <is>
          <t>R / Ω (CH1)</t>
        </is>
      </c>
      <c r="D1" t="inlineStr" s="1">
        <is>
          <t>U / V (CH2)</t>
        </is>
      </c>
      <c r="E1" t="inlineStr" s="1">
        <is>
          <t>T / K</t>
        </is>
      </c>
      <c r="F1" t="inlineStr" s="1">
        <is>
          <t>1/T / K^-1</t>
        </is>
      </c>
      <c r="G1" t="inlineStr" s="1">
        <is>
          <t>ln(R/Ω)</t>
        </is>
      </c>
      <c r="H1" t="inlineStr" s="1">
        <is>
          <t>lnR拟合值</t>
        </is>
      </c>
      <c r="I1" t="inlineStr" s="1">
        <is>
          <t>lnR残差</t>
        </is>
      </c>
      <c r="J1" t="inlineStr" s="1">
        <is>
          <t>U拟合值</t>
        </is>
      </c>
      <c r="K1" t="inlineStr" s="1">
        <is>
          <t>U残差</t>
        </is>
      </c>
    </row>
    <row r="2">
      <c r="A2">
        <v>1</v>
      </c>
      <c r="B2">
        <v>23.055</v>
      </c>
      <c r="C2">
        <v>1844.467809</v>
      </c>
      <c r="D2">
        <v>0.4872835</v>
      </c>
      <c r="E2">
        <f>B2+273.15</f>
        <v>296.205</v>
      </c>
      <c r="F2">
        <f>1/E2</f>
        <v>0.0033760402424</v>
      </c>
      <c r="G2">
        <f>LN(C2)</f>
        <v>7.51994606446</v>
      </c>
      <c r="H2">
        <f>$N$5+$N$6*F2</f>
        <v>7.53605814065</v>
      </c>
      <c r="I2">
        <f>G2-H2</f>
        <v>-0.016112076191</v>
      </c>
      <c r="J2">
        <f>$N$14+$N$15*E2</f>
        <v>0.488818123688</v>
      </c>
      <c r="K2">
        <f>D2-J2</f>
        <v>-0.00153462368784</v>
      </c>
    </row>
    <row r="3">
      <c r="A3">
        <v>2</v>
      </c>
      <c r="B3">
        <v>24.035</v>
      </c>
      <c r="C3">
        <v>1802.523422</v>
      </c>
      <c r="D3">
        <v>0.48623469</v>
      </c>
      <c r="E3">
        <f>B3+273.15</f>
        <v>297.185</v>
      </c>
      <c r="F3">
        <f>1/E3</f>
        <v>0.00336490738092</v>
      </c>
      <c r="G3">
        <f>LN(C3)</f>
        <v>7.49694286325</v>
      </c>
      <c r="H3">
        <f>$N$5+$N$6*F3</f>
        <v>7.4973715097</v>
      </c>
      <c r="I3">
        <f>G3-H3</f>
        <v>-0.000428646453582</v>
      </c>
      <c r="J3">
        <f>$N$14+$N$15*E3</f>
        <v>0.48641663962</v>
      </c>
      <c r="K3">
        <f>D3-J3</f>
        <v>-0.000181949619935</v>
      </c>
    </row>
    <row r="4">
      <c r="A4">
        <v>3</v>
      </c>
      <c r="B4">
        <v>25.032</v>
      </c>
      <c r="C4">
        <v>1743.88577</v>
      </c>
      <c r="D4">
        <v>0.48445156</v>
      </c>
      <c r="E4">
        <f>B4+273.15</f>
        <v>298.182</v>
      </c>
      <c r="F4">
        <f>1/E4</f>
        <v>0.00335365649167</v>
      </c>
      <c r="G4">
        <f>LN(C4)</f>
        <v>7.46387110347</v>
      </c>
      <c r="H4">
        <f>$N$5+$N$6*F4</f>
        <v>7.4582747329</v>
      </c>
      <c r="I4">
        <f>G4-H4</f>
        <v>0.00559637057134</v>
      </c>
      <c r="J4">
        <f>$N$14+$N$15*E4</f>
        <v>0.483973497155</v>
      </c>
      <c r="K4">
        <f>D4-J4</f>
        <v>0.000478062845064</v>
      </c>
    </row>
    <row r="5">
      <c r="A5">
        <v>4</v>
      </c>
      <c r="B5">
        <v>26.008</v>
      </c>
      <c r="C5">
        <v>1679.656159</v>
      </c>
      <c r="D5">
        <v>0.48222485</v>
      </c>
      <c r="E5">
        <f>B5+273.15</f>
        <v>299.158</v>
      </c>
      <c r="F5">
        <f>1/E5</f>
        <v>0.00334271522072</v>
      </c>
      <c r="G5">
        <f>LN(C5)</f>
        <v>7.42634438419</v>
      </c>
      <c r="H5">
        <f>$N$5+$N$6*F5</f>
        <v>7.42025387794</v>
      </c>
      <c r="I5">
        <f>G5-H5</f>
        <v>0.00609050625013</v>
      </c>
      <c r="J5">
        <f>$N$14+$N$15*E5</f>
        <v>0.481581815063</v>
      </c>
      <c r="K5">
        <f>D5-J5</f>
        <v>0.000643034937179</v>
      </c>
    </row>
    <row r="6">
      <c r="A6">
        <v>5</v>
      </c>
      <c r="B6">
        <v>27.007</v>
      </c>
      <c r="C6">
        <v>1614.194877</v>
      </c>
      <c r="D6">
        <v>0.47972515</v>
      </c>
      <c r="E6">
        <f>B6+273.15</f>
        <v>300.157</v>
      </c>
      <c r="F6">
        <f>1/E6</f>
        <v>0.00333158980134</v>
      </c>
      <c r="G6">
        <f>LN(C6)</f>
        <v>7.38659158318</v>
      </c>
      <c r="H6">
        <f>$N$5+$N$6*F6</f>
        <v>7.38159310822</v>
      </c>
      <c r="I6">
        <f>G6-H6</f>
        <v>0.00499847495328</v>
      </c>
      <c r="J6">
        <f>$N$14+$N$15*E6</f>
        <v>0.47913377161</v>
      </c>
      <c r="K6">
        <f>D6-J6</f>
        <v>0.000591378390072</v>
      </c>
    </row>
    <row r="7">
      <c r="A7">
        <v>6</v>
      </c>
      <c r="B7">
        <v>28.028</v>
      </c>
      <c r="C7">
        <v>1550.579223</v>
      </c>
      <c r="D7">
        <v>0.47710851</v>
      </c>
      <c r="E7">
        <f>B7+273.15</f>
        <v>301.178</v>
      </c>
      <c r="F7">
        <f>1/E7</f>
        <v>0.00332029563912</v>
      </c>
      <c r="G7">
        <f>LN(C7)</f>
        <v>7.34638383237</v>
      </c>
      <c r="H7">
        <f>$N$5+$N$6*F7</f>
        <v>7.34234595812</v>
      </c>
      <c r="I7">
        <f>G7-H7</f>
        <v>0.00403787424571</v>
      </c>
      <c r="J7">
        <f>$N$14+$N$15*E7</f>
        <v>0.47663181729</v>
      </c>
      <c r="K7">
        <f>D7-J7</f>
        <v>0.000476692709795</v>
      </c>
    </row>
    <row r="8">
      <c r="A8">
        <v>7</v>
      </c>
      <c r="B8">
        <v>28.989</v>
      </c>
      <c r="C8">
        <v>1494.110763</v>
      </c>
      <c r="D8">
        <v>0.47465482</v>
      </c>
      <c r="E8">
        <f>B8+273.15</f>
        <v>302.139</v>
      </c>
      <c r="F8">
        <f>1/E8</f>
        <v>0.00330973492333</v>
      </c>
      <c r="G8">
        <f>LN(C8)</f>
        <v>7.3092865015</v>
      </c>
      <c r="H8">
        <f>$N$5+$N$6*F8</f>
        <v>7.3056475302</v>
      </c>
      <c r="I8">
        <f>G8-H8</f>
        <v>0.00363897130269</v>
      </c>
      <c r="J8">
        <f>$N$14+$N$15*E8</f>
        <v>0.474276892607</v>
      </c>
      <c r="K8">
        <f>D8-J8</f>
        <v>0.000377927392707</v>
      </c>
    </row>
    <row r="9">
      <c r="A9">
        <v>8</v>
      </c>
      <c r="B9">
        <v>30.012</v>
      </c>
      <c r="C9">
        <v>1435.120132</v>
      </c>
      <c r="D9">
        <v>0.47196737</v>
      </c>
      <c r="E9">
        <f>B9+273.15</f>
        <v>303.162</v>
      </c>
      <c r="F9">
        <f>1/E9</f>
        <v>0.00329856644302</v>
      </c>
      <c r="G9">
        <f>LN(C9)</f>
        <v>7.26900384037</v>
      </c>
      <c r="H9">
        <f>$N$5+$N$6*F9</f>
        <v>7.26683712401</v>
      </c>
      <c r="I9">
        <f>G9-H9</f>
        <v>0.00216671635575</v>
      </c>
      <c r="J9">
        <f>$N$14+$N$15*E9</f>
        <v>0.4717700373</v>
      </c>
      <c r="K9">
        <f>D9-J9</f>
        <v>0.000197332700324</v>
      </c>
    </row>
    <row r="10">
      <c r="A10">
        <v>9</v>
      </c>
      <c r="B10">
        <v>30.983</v>
      </c>
      <c r="C10">
        <v>1381.977432</v>
      </c>
      <c r="D10">
        <v>0.46944073</v>
      </c>
      <c r="E10">
        <f>B10+273.15</f>
        <v>304.133</v>
      </c>
      <c r="F10">
        <f>1/E10</f>
        <v>0.00328803516882</v>
      </c>
      <c r="G10">
        <f>LN(C10)</f>
        <v>7.23127067424</v>
      </c>
      <c r="H10">
        <f>$N$5+$N$6*F10</f>
        <v>7.23024100546</v>
      </c>
      <c r="I10">
        <f>G10-H10</f>
        <v>0.00102966877472</v>
      </c>
      <c r="J10">
        <f>$N$14+$N$15*E10</f>
        <v>0.469390607677</v>
      </c>
      <c r="K10">
        <f>D10-J10</f>
        <v>5.01223227047e-05</v>
      </c>
    </row>
    <row r="11">
      <c r="A11">
        <v>10</v>
      </c>
      <c r="B11">
        <v>31.99</v>
      </c>
      <c r="C11">
        <v>1328.171958</v>
      </c>
      <c r="D11">
        <v>0.46677986</v>
      </c>
      <c r="E11">
        <f>B11+273.15</f>
        <v>305.14</v>
      </c>
      <c r="F11">
        <f>1/E11</f>
        <v>0.0032771842433</v>
      </c>
      <c r="G11">
        <f>LN(C11)</f>
        <v>7.1915588081</v>
      </c>
      <c r="H11">
        <f>$N$5+$N$6*F11</f>
        <v>7.19253410035</v>
      </c>
      <c r="I11">
        <f>G11-H11</f>
        <v>-0.000975292253766</v>
      </c>
      <c r="J11">
        <f>$N$14+$N$15*E11</f>
        <v>0.466922960273</v>
      </c>
      <c r="K11">
        <f>D11-J11</f>
        <v>-0.000143100272828</v>
      </c>
    </row>
    <row r="12">
      <c r="A12">
        <v>11</v>
      </c>
      <c r="B12">
        <v>32.988</v>
      </c>
      <c r="C12">
        <v>1277.021335</v>
      </c>
      <c r="D12">
        <v>0.46414163</v>
      </c>
      <c r="E12">
        <f>B12+273.15</f>
        <v>306.138</v>
      </c>
      <c r="F12">
        <f>1/E12</f>
        <v>0.00326650072843</v>
      </c>
      <c r="G12">
        <f>LN(C12)</f>
        <v>7.15228556302</v>
      </c>
      <c r="H12">
        <f>$N$5+$N$6*F12</f>
        <v>7.15540894634</v>
      </c>
      <c r="I12">
        <f>G12-H12</f>
        <v>-0.00312338331683</v>
      </c>
      <c r="J12">
        <f>$N$14+$N$15*E12</f>
        <v>0.464477367314</v>
      </c>
      <c r="K12">
        <f>D12-J12</f>
        <v>-0.000335737313882</v>
      </c>
    </row>
    <row r="13">
      <c r="A13">
        <v>12</v>
      </c>
      <c r="B13">
        <v>33.994</v>
      </c>
      <c r="C13">
        <v>1225.753678</v>
      </c>
      <c r="D13">
        <v>0.46139303</v>
      </c>
      <c r="E13">
        <f>B13+273.15</f>
        <v>307.144</v>
      </c>
      <c r="F13">
        <f>1/E13</f>
        <v>0.00325580183888</v>
      </c>
      <c r="G13">
        <f>LN(C13)</f>
        <v>7.11131118114</v>
      </c>
      <c r="H13">
        <f>$N$5+$N$6*F13</f>
        <v>7.11823036538</v>
      </c>
      <c r="I13">
        <f>G13-H13</f>
        <v>-0.00691918423843</v>
      </c>
      <c r="J13">
        <f>$N$14+$N$15*E13</f>
        <v>0.462012170403</v>
      </c>
      <c r="K13">
        <f>D13-J13</f>
        <v>-0.000619140403362</v>
      </c>
    </row>
    <row r="16">
      <c r="A16" t="inlineStr">
        <is>
          <t>数据组</t>
        </is>
      </c>
      <c r="B16" t="inlineStr">
        <is>
          <t>room_to_30C</t>
        </is>
      </c>
    </row>
    <row r="18">
      <c r="A18" t="inlineStr" s="1">
        <is>
          <t>热敏电阻：lnR = a + b*(1/T)</t>
        </is>
      </c>
      <c r="B18" t="inlineStr">
        <is>
          <t/>
        </is>
      </c>
    </row>
    <row r="19">
      <c r="A19" t="inlineStr">
        <is>
          <t>截距 a</t>
        </is>
      </c>
      <c r="B19">
        <f>INTERCEPT(G2:G13,F2:F13)</f>
        <v>-4.19566269381</v>
      </c>
    </row>
    <row r="20">
      <c r="A20" t="inlineStr">
        <is>
          <t>斜率 b</t>
        </is>
      </c>
      <c r="B20">
        <f>SLOPE(G2:G13,F2:F13)</f>
        <v>3474.99436977</v>
      </c>
    </row>
    <row r="21">
      <c r="A21" t="inlineStr">
        <is>
          <t>Pearson r</t>
        </is>
      </c>
      <c r="B21">
        <f>CORREL(F2:F13,G2:G13)</f>
        <v>0.998918716918</v>
      </c>
    </row>
    <row r="22">
      <c r="A22" t="inlineStr">
        <is>
          <t>R平方</t>
        </is>
      </c>
      <c r="B22">
        <f>RSQ(G2:G13,F2:F13)</f>
        <v>0.997838603009</v>
      </c>
    </row>
    <row r="23">
      <c r="A23" t="inlineStr">
        <is>
          <t>残差平方和</t>
        </is>
      </c>
      <c r="B23">
        <f>SUMSQ(I2:I13)</f>
        <v>0.000447064365748</v>
      </c>
    </row>
    <row r="27">
      <c r="A27" t="inlineStr" s="1">
        <is>
          <t>PN结：U = a + b*T</t>
        </is>
      </c>
      <c r="B27" t="inlineStr">
        <is>
          <t/>
        </is>
      </c>
    </row>
    <row r="28">
      <c r="A28" t="inlineStr">
        <is>
          <t>截距 a</t>
        </is>
      </c>
      <c r="B28">
        <f>INTERCEPT(D2:D13,E2:E13)</f>
        <v>1.21466668321</v>
      </c>
    </row>
    <row r="29">
      <c r="A29" t="inlineStr">
        <is>
          <t>斜率 b</t>
        </is>
      </c>
      <c r="B29">
        <f>SLOPE(D2:D13,E2:E13)</f>
        <v>-0.00245049394684</v>
      </c>
    </row>
    <row r="30">
      <c r="A30" t="inlineStr">
        <is>
          <t>Pearson r</t>
        </is>
      </c>
      <c r="B30">
        <f>CORREL(E2:E13,D2:D13)</f>
        <v>-0.997474025296</v>
      </c>
    </row>
    <row r="31">
      <c r="A31" t="inlineStr">
        <is>
          <t>R平方</t>
        </is>
      </c>
      <c r="B31">
        <f>RSQ(D2:D13,E2:E13)</f>
        <v>0.99495443114</v>
      </c>
    </row>
    <row r="32">
      <c r="A32" t="inlineStr">
        <is>
          <t>残差平方和</t>
        </is>
      </c>
      <c r="B32">
        <f>SUMSQ(K2:K13)</f>
        <v>4.30799150864e-06</v>
      </c>
    </row>
    <row r="35">
      <c r="A35" t="inlineStr">
        <is>
          <t>说明</t>
        </is>
      </c>
      <c r="B35" t="inlineStr">
        <is>
          <t>E-G列、H-K列和右侧汇总区均含Excel公式，并写入了Python复算值。</t>
        </is>
      </c>
    </row>
  </sheetData>
  <autoFilter ref="A1:K13"/>
  <pageMargins left="0.7" right="0.7" top="0.75" bottom="0.75" header="0.3" footer="0.3"/>
</worksheet>
</file>

<file path=xl/worksheets/sheet2.xml><?xml version="1.0" encoding="utf-8"?>
<worksheet xmlns="http://schemas.openxmlformats.org/spreadsheetml/2006/main">
  <cols>
    <col min="1" max="1" width="8" customWidth="1"/>
    <col min="2" max="11" width="16" customWidth="1"/>
    <col min="13" max="16" width="22" customWidth="1"/>
  </cols>
  <sheetData>
    <row r="1">
      <c r="A1" t="inlineStr" s="1">
        <is>
          <t>序号</t>
        </is>
      </c>
      <c r="B1" t="inlineStr" s="1">
        <is>
          <t>t / ℃</t>
        </is>
      </c>
      <c r="C1" t="inlineStr" s="1">
        <is>
          <t>R / Ω (CH1)</t>
        </is>
      </c>
      <c r="D1" t="inlineStr" s="1">
        <is>
          <t>U / V (CH2)</t>
        </is>
      </c>
      <c r="E1" t="inlineStr" s="1">
        <is>
          <t>T / K</t>
        </is>
      </c>
      <c r="F1" t="inlineStr" s="1">
        <is>
          <t>1/T / K^-1</t>
        </is>
      </c>
      <c r="G1" t="inlineStr" s="1">
        <is>
          <t>ln(R/Ω)</t>
        </is>
      </c>
      <c r="H1" t="inlineStr" s="1">
        <is>
          <t>lnR拟合值</t>
        </is>
      </c>
      <c r="I1" t="inlineStr" s="1">
        <is>
          <t>lnR残差</t>
        </is>
      </c>
      <c r="J1" t="inlineStr" s="1">
        <is>
          <t>U拟合值</t>
        </is>
      </c>
      <c r="K1" t="inlineStr" s="1">
        <is>
          <t>U残差</t>
        </is>
      </c>
    </row>
    <row r="2">
      <c r="A2">
        <v>1</v>
      </c>
      <c r="B2">
        <v>30.986</v>
      </c>
      <c r="C2">
        <v>1760.565892</v>
      </c>
      <c r="D2">
        <v>0.48465338</v>
      </c>
      <c r="E2">
        <f>B2+273.15</f>
        <v>304.136</v>
      </c>
      <c r="F2">
        <f>1/E2</f>
        <v>0.00328800273562</v>
      </c>
      <c r="G2">
        <f>LN(C2)</f>
        <v>7.4733905659</v>
      </c>
      <c r="H2">
        <f>$N$5+$N$6*F2</f>
        <v>7.5209264823</v>
      </c>
      <c r="I2">
        <f>G2-H2</f>
        <v>-0.0475359164045</v>
      </c>
      <c r="J2">
        <f>$N$14+$N$15*E2</f>
        <v>0.489620006166</v>
      </c>
      <c r="K2">
        <f>D2-J2</f>
        <v>-0.00496662616565</v>
      </c>
    </row>
    <row r="3">
      <c r="A3">
        <v>2</v>
      </c>
      <c r="B3">
        <v>33.01</v>
      </c>
      <c r="C3">
        <v>1630.267926</v>
      </c>
      <c r="D3">
        <v>0.48003009</v>
      </c>
      <c r="E3">
        <f>B3+273.15</f>
        <v>306.16</v>
      </c>
      <c r="F3">
        <f>1/E3</f>
        <v>0.0032662660047</v>
      </c>
      <c r="G3">
        <f>LN(C3)</f>
        <v>7.39649965207</v>
      </c>
      <c r="H3">
        <f>$N$5+$N$6*F3</f>
        <v>7.43673801584</v>
      </c>
      <c r="I3">
        <f>G3-H3</f>
        <v>-0.0402383637712</v>
      </c>
      <c r="J3">
        <f>$N$14+$N$15*E3</f>
        <v>0.484265434271</v>
      </c>
      <c r="K3">
        <f>D3-J3</f>
        <v>-0.00423534427067</v>
      </c>
    </row>
    <row r="4">
      <c r="A4">
        <v>3</v>
      </c>
      <c r="B4">
        <v>35.005</v>
      </c>
      <c r="C4">
        <v>1512.903125</v>
      </c>
      <c r="D4">
        <v>0.4754658</v>
      </c>
      <c r="E4">
        <f>B4+273.15</f>
        <v>308.155</v>
      </c>
      <c r="F4">
        <f>1/E4</f>
        <v>0.00324512015057</v>
      </c>
      <c r="G4">
        <f>LN(C4)</f>
        <v>7.32178568332</v>
      </c>
      <c r="H4">
        <f>$N$5+$N$6*F4</f>
        <v>7.35483807247</v>
      </c>
      <c r="I4">
        <f>G4-H4</f>
        <v>-0.0330523891471</v>
      </c>
      <c r="J4">
        <f>$N$14+$N$15*E4</f>
        <v>0.47898758302</v>
      </c>
      <c r="K4">
        <f>D4-J4</f>
        <v>-0.00352178302044</v>
      </c>
    </row>
    <row r="5">
      <c r="A5">
        <v>4</v>
      </c>
      <c r="B5">
        <v>37.003</v>
      </c>
      <c r="C5">
        <v>1404.255772</v>
      </c>
      <c r="D5">
        <v>0.47084692</v>
      </c>
      <c r="E5">
        <f>B5+273.15</f>
        <v>310.153</v>
      </c>
      <c r="F5">
        <f>1/E5</f>
        <v>0.00322421514543</v>
      </c>
      <c r="G5">
        <f>LN(C5)</f>
        <v>7.24726274178</v>
      </c>
      <c r="H5">
        <f>$N$5+$N$6*F5</f>
        <v>7.27387096056</v>
      </c>
      <c r="I5">
        <f>G5-H5</f>
        <v>-0.0266082187735</v>
      </c>
      <c r="J5">
        <f>$N$14+$N$15*E5</f>
        <v>0.473701795152</v>
      </c>
      <c r="K5">
        <f>D5-J5</f>
        <v>-0.00285487515179</v>
      </c>
    </row>
    <row r="6">
      <c r="A6">
        <v>5</v>
      </c>
      <c r="B6">
        <v>39.011</v>
      </c>
      <c r="C6">
        <v>1304.750818</v>
      </c>
      <c r="D6">
        <v>0.466221</v>
      </c>
      <c r="E6">
        <f>B6+273.15</f>
        <v>312.161</v>
      </c>
      <c r="F6">
        <f>1/E6</f>
        <v>0.00320347512982</v>
      </c>
      <c r="G6">
        <f>LN(C6)</f>
        <v>7.17376735746</v>
      </c>
      <c r="H6">
        <f>$N$5+$N$6*F6</f>
        <v>7.19354286913</v>
      </c>
      <c r="I6">
        <f>G6-H6</f>
        <v>-0.0197755116633</v>
      </c>
      <c r="J6">
        <f>$N$14+$N$15*E6</f>
        <v>0.468389551888</v>
      </c>
      <c r="K6">
        <f>D6-J6</f>
        <v>-0.0021685518884</v>
      </c>
    </row>
    <row r="7">
      <c r="A7">
        <v>6</v>
      </c>
      <c r="B7">
        <v>41</v>
      </c>
      <c r="C7">
        <v>1214.218659</v>
      </c>
      <c r="D7">
        <v>0.46163335</v>
      </c>
      <c r="E7">
        <f>B7+273.15</f>
        <v>314.15</v>
      </c>
      <c r="F7">
        <f>1/E7</f>
        <v>0.00318319274232</v>
      </c>
      <c r="G7">
        <f>LN(C7)</f>
        <v>7.1018560699</v>
      </c>
      <c r="H7">
        <f>$N$5+$N$6*F7</f>
        <v>7.11498721573</v>
      </c>
      <c r="I7">
        <f>G7-H7</f>
        <v>-0.0131311458292</v>
      </c>
      <c r="J7">
        <f>$N$14+$N$15*E7</f>
        <v>0.463127573875</v>
      </c>
      <c r="K7">
        <f>D7-J7</f>
        <v>-0.00149422387501</v>
      </c>
    </row>
    <row r="8">
      <c r="A8">
        <v>7</v>
      </c>
      <c r="B8">
        <v>43.003</v>
      </c>
      <c r="C8">
        <v>1131.117203</v>
      </c>
      <c r="D8">
        <v>0.45703664</v>
      </c>
      <c r="E8">
        <f>B8+273.15</f>
        <v>316.153</v>
      </c>
      <c r="F8">
        <f>1/E8</f>
        <v>0.00316302549715</v>
      </c>
      <c r="G8">
        <f>LN(C8)</f>
        <v>7.03096109851</v>
      </c>
      <c r="H8">
        <f>$N$5+$N$6*F8</f>
        <v>7.03687751973</v>
      </c>
      <c r="I8">
        <f>G8-H8</f>
        <v>-0.00591642122004</v>
      </c>
      <c r="J8">
        <f>$N$14+$N$15*E8</f>
        <v>0.457828558309</v>
      </c>
      <c r="K8">
        <f>D8-J8</f>
        <v>-0.000791918308989</v>
      </c>
    </row>
    <row r="9">
      <c r="A9">
        <v>8</v>
      </c>
      <c r="B9">
        <v>44.996</v>
      </c>
      <c r="C9">
        <v>1053.500059</v>
      </c>
      <c r="D9">
        <v>0.45236984</v>
      </c>
      <c r="E9">
        <f>B9+273.15</f>
        <v>318.146</v>
      </c>
      <c r="F9">
        <f>1/E9</f>
        <v>0.00314321097861</v>
      </c>
      <c r="G9">
        <f>LN(C9)</f>
        <v>6.95987328925</v>
      </c>
      <c r="H9">
        <f>$N$5+$N$6*F9</f>
        <v>6.96013396817</v>
      </c>
      <c r="I9">
        <f>G9-H9</f>
        <v>-0.0002606789268</v>
      </c>
      <c r="J9">
        <f>$N$14+$N$15*E9</f>
        <v>0.452555998138</v>
      </c>
      <c r="K9">
        <f>D9-J9</f>
        <v>-0.000186158137705</v>
      </c>
    </row>
    <row r="10">
      <c r="A10">
        <v>9</v>
      </c>
      <c r="B10">
        <v>47.004</v>
      </c>
      <c r="C10">
        <v>982.449948</v>
      </c>
      <c r="D10">
        <v>0.44771328</v>
      </c>
      <c r="E10">
        <f>B10+273.15</f>
        <v>320.154</v>
      </c>
      <c r="F10">
        <f>1/E10</f>
        <v>0.00312349681716</v>
      </c>
      <c r="G10">
        <f>LN(C10)</f>
        <v>6.89004939893</v>
      </c>
      <c r="H10">
        <f>$N$5+$N$6*F10</f>
        <v>6.88377910936</v>
      </c>
      <c r="I10">
        <f>G10-H10</f>
        <v>0.00627028957193</v>
      </c>
      <c r="J10">
        <f>$N$14+$N$15*E10</f>
        <v>0.447243754874</v>
      </c>
      <c r="K10">
        <f>D10-J10</f>
        <v>0.000469525125686</v>
      </c>
    </row>
    <row r="11">
      <c r="A11">
        <v>10</v>
      </c>
      <c r="B11">
        <v>48.993</v>
      </c>
      <c r="C11">
        <v>917.612011</v>
      </c>
      <c r="D11">
        <v>0.44309261</v>
      </c>
      <c r="E11">
        <f>B11+273.15</f>
        <v>322.143</v>
      </c>
      <c r="F11">
        <f>1/E11</f>
        <v>0.00310421148372</v>
      </c>
      <c r="G11">
        <f>LN(C11)</f>
        <v>6.82177465531</v>
      </c>
      <c r="H11">
        <f>$N$5+$N$6*F11</f>
        <v>6.80908514303</v>
      </c>
      <c r="I11">
        <f>G11-H11</f>
        <v>0.0126895122839</v>
      </c>
      <c r="J11">
        <f>$N$14+$N$15*E11</f>
        <v>0.441981776861</v>
      </c>
      <c r="K11">
        <f>D11-J11</f>
        <v>0.00111083313907</v>
      </c>
    </row>
    <row r="12">
      <c r="A12">
        <v>11</v>
      </c>
      <c r="B12">
        <v>50.99</v>
      </c>
      <c r="C12">
        <v>857.253901</v>
      </c>
      <c r="D12">
        <v>0.43841973</v>
      </c>
      <c r="E12">
        <f>B12+273.15</f>
        <v>324.14</v>
      </c>
      <c r="F12">
        <f>1/E12</f>
        <v>0.00308508669094</v>
      </c>
      <c r="G12">
        <f>LN(C12)</f>
        <v>6.75373414193</v>
      </c>
      <c r="H12">
        <f>$N$5+$N$6*F12</f>
        <v>6.73501296621</v>
      </c>
      <c r="I12">
        <f>G12-H12</f>
        <v>0.018721175724</v>
      </c>
      <c r="J12">
        <f>$N$14+$N$15*E12</f>
        <v>0.436698634532</v>
      </c>
      <c r="K12">
        <f>D12-J12</f>
        <v>0.00172109546825</v>
      </c>
    </row>
    <row r="13">
      <c r="A13">
        <v>12</v>
      </c>
      <c r="B13">
        <v>53.007</v>
      </c>
      <c r="C13">
        <v>800.164598</v>
      </c>
      <c r="D13">
        <v>0.43361416</v>
      </c>
      <c r="E13">
        <f>B13+273.15</f>
        <v>326.157</v>
      </c>
      <c r="F13">
        <f>1/E13</f>
        <v>0.00306600808813</v>
      </c>
      <c r="G13">
        <f>LN(C13)</f>
        <v>6.684817454</v>
      </c>
      <c r="H13">
        <f>$N$5+$N$6*F13</f>
        <v>6.66111968765</v>
      </c>
      <c r="I13">
        <f>G13-H13</f>
        <v>0.0236977663583</v>
      </c>
      <c r="J13">
        <f>$N$14+$N$15*E13</f>
        <v>0.431362581413</v>
      </c>
      <c r="K13">
        <f>D13-J13</f>
        <v>0.00225157858691</v>
      </c>
    </row>
    <row r="14">
      <c r="A14">
        <v>13</v>
      </c>
      <c r="B14">
        <v>55.001</v>
      </c>
      <c r="C14">
        <v>748.279855</v>
      </c>
      <c r="D14">
        <v>0.4288651</v>
      </c>
      <c r="E14">
        <f>B14+273.15</f>
        <v>328.151</v>
      </c>
      <c r="F14">
        <f>1/E14</f>
        <v>0.00304737757922</v>
      </c>
      <c r="G14">
        <f>LN(C14)</f>
        <v>6.6177770457</v>
      </c>
      <c r="H14">
        <f>$N$5+$N$6*F14</f>
        <v>6.58896192022</v>
      </c>
      <c r="I14">
        <f>G14-H14</f>
        <v>0.0288151254879</v>
      </c>
      <c r="J14">
        <f>$N$14+$N$15*E14</f>
        <v>0.426087375702</v>
      </c>
      <c r="K14">
        <f>D14-J14</f>
        <v>0.00277772429767</v>
      </c>
    </row>
    <row r="15">
      <c r="A15">
        <v>14</v>
      </c>
      <c r="B15">
        <v>57.002</v>
      </c>
      <c r="C15">
        <v>699.506205</v>
      </c>
      <c r="D15">
        <v>0.42401757</v>
      </c>
      <c r="E15">
        <f>B15+273.15</f>
        <v>330.152</v>
      </c>
      <c r="F15">
        <f>1/E15</f>
        <v>0.00302890789697</v>
      </c>
      <c r="G15">
        <f>LN(C15)</f>
        <v>6.55037466469</v>
      </c>
      <c r="H15">
        <f>$N$5+$N$6*F15</f>
        <v>6.51742704999</v>
      </c>
      <c r="I15">
        <f>G15-H15</f>
        <v>0.0329476146966</v>
      </c>
      <c r="J15">
        <f>$N$14+$N$15*E15</f>
        <v>0.420793651215</v>
      </c>
      <c r="K15">
        <f>D15-J15</f>
        <v>0.00322391878474</v>
      </c>
    </row>
    <row r="16">
      <c r="A16">
        <v>15</v>
      </c>
      <c r="B16">
        <v>59.009</v>
      </c>
      <c r="C16">
        <v>654.490778</v>
      </c>
      <c r="D16">
        <v>0.41915705</v>
      </c>
      <c r="E16">
        <f>B16+273.15</f>
        <v>332.159</v>
      </c>
      <c r="F16">
        <f>1/E16</f>
        <v>0.00301060636623</v>
      </c>
      <c r="G16">
        <f>LN(C16)</f>
        <v>6.48385749511</v>
      </c>
      <c r="H16">
        <f>$N$5+$N$6*F16</f>
        <v>6.44654344689</v>
      </c>
      <c r="I16">
        <f>G16-H16</f>
        <v>0.0373140482155</v>
      </c>
      <c r="J16">
        <f>$N$14+$N$15*E16</f>
        <v>0.415484053491</v>
      </c>
      <c r="K16">
        <f>D16-J16</f>
        <v>0.00367299650866</v>
      </c>
    </row>
    <row r="17">
      <c r="A17">
        <v>16</v>
      </c>
      <c r="B17">
        <v>61.005</v>
      </c>
      <c r="C17">
        <v>612.033195</v>
      </c>
      <c r="D17">
        <v>0.41417625</v>
      </c>
      <c r="E17">
        <f>B17+273.15</f>
        <v>334.155</v>
      </c>
      <c r="F17">
        <f>1/E17</f>
        <v>0.00299262318385</v>
      </c>
      <c r="G17">
        <f>LN(C17)</f>
        <v>6.41678652124</v>
      </c>
      <c r="H17">
        <f>$N$5+$N$6*F17</f>
        <v>6.37689283787</v>
      </c>
      <c r="I17">
        <f>G17-H17</f>
        <v>0.0398936833674</v>
      </c>
      <c r="J17">
        <f>$N$14+$N$15*E17</f>
        <v>0.410203556702</v>
      </c>
      <c r="K17">
        <f>D17-J17</f>
        <v>0.00397269329836</v>
      </c>
    </row>
    <row r="18">
      <c r="A18">
        <v>17</v>
      </c>
      <c r="B18">
        <v>62.998</v>
      </c>
      <c r="C18">
        <v>572.299932</v>
      </c>
      <c r="D18">
        <v>0.40910723</v>
      </c>
      <c r="E18">
        <f>B18+273.15</f>
        <v>336.148</v>
      </c>
      <c r="F18">
        <f>1/E18</f>
        <v>0.00297488011233</v>
      </c>
      <c r="G18">
        <f>LN(C18)</f>
        <v>6.3496632106</v>
      </c>
      <c r="H18">
        <f>$N$5+$N$6*F18</f>
        <v>6.30817220148</v>
      </c>
      <c r="I18">
        <f>G18-H18</f>
        <v>0.041491009119</v>
      </c>
      <c r="J18">
        <f>$N$14+$N$15*E18</f>
        <v>0.40493099653</v>
      </c>
      <c r="K18">
        <f>D18-J18</f>
        <v>0.00417623346965</v>
      </c>
    </row>
    <row r="19">
      <c r="A19">
        <v>18</v>
      </c>
      <c r="B19">
        <v>64.998</v>
      </c>
      <c r="C19">
        <v>535.588892</v>
      </c>
      <c r="D19">
        <v>0.4040226</v>
      </c>
      <c r="E19">
        <f>B19+273.15</f>
        <v>338.148</v>
      </c>
      <c r="F19">
        <f>1/E19</f>
        <v>0.00295728497581</v>
      </c>
      <c r="G19">
        <f>LN(C19)</f>
        <v>6.28336687424</v>
      </c>
      <c r="H19">
        <f>$N$5+$N$6*F19</f>
        <v>6.24002453168</v>
      </c>
      <c r="I19">
        <f>G19-H19</f>
        <v>0.0433423425676</v>
      </c>
      <c r="J19">
        <f>$N$14+$N$15*E19</f>
        <v>0.399639917583</v>
      </c>
      <c r="K19">
        <f>D19-J19</f>
        <v>0.00438268241725</v>
      </c>
    </row>
    <row r="20">
      <c r="A20">
        <v>19</v>
      </c>
      <c r="B20">
        <v>66.999</v>
      </c>
      <c r="C20">
        <v>500.528216</v>
      </c>
      <c r="D20">
        <v>0.39874055</v>
      </c>
      <c r="E20">
        <f>B20+273.15</f>
        <v>340.149</v>
      </c>
      <c r="F20">
        <f>1/E20</f>
        <v>0.00293988810786</v>
      </c>
      <c r="G20">
        <f>LN(C20)</f>
        <v>6.21566397279</v>
      </c>
      <c r="H20">
        <f>$N$5+$N$6*F20</f>
        <v>6.17264477528</v>
      </c>
      <c r="I20">
        <f>G20-H20</f>
        <v>0.0430191975136</v>
      </c>
      <c r="J20">
        <f>$N$14+$N$15*E20</f>
        <v>0.394346193096</v>
      </c>
      <c r="K20">
        <f>D20-J20</f>
        <v>0.00439435690432</v>
      </c>
    </row>
    <row r="21">
      <c r="A21">
        <v>20</v>
      </c>
      <c r="B21">
        <v>69.006</v>
      </c>
      <c r="C21">
        <v>467.563508</v>
      </c>
      <c r="D21">
        <v>0.39333012</v>
      </c>
      <c r="E21">
        <f>B21+273.15</f>
        <v>342.156</v>
      </c>
      <c r="F21">
        <f>1/E21</f>
        <v>0.00292264347257</v>
      </c>
      <c r="G21">
        <f>LN(C21)</f>
        <v>6.14753518549</v>
      </c>
      <c r="H21">
        <f>$N$5+$N$6*F21</f>
        <v>6.10585463073</v>
      </c>
      <c r="I21">
        <f>G21-H21</f>
        <v>0.0416805547606</v>
      </c>
      <c r="J21">
        <f>$N$14+$N$15*E21</f>
        <v>0.389036595372</v>
      </c>
      <c r="K21">
        <f>D21-J21</f>
        <v>0.00429352462824</v>
      </c>
    </row>
    <row r="22">
      <c r="A22">
        <v>21</v>
      </c>
      <c r="B22">
        <v>70.998</v>
      </c>
      <c r="C22">
        <v>436.332401</v>
      </c>
      <c r="D22">
        <v>0.38774123</v>
      </c>
      <c r="E22">
        <f>B22+273.15</f>
        <v>344.148</v>
      </c>
      <c r="F22">
        <f>1/E22</f>
        <v>0.002905726606</v>
      </c>
      <c r="G22">
        <f>LN(C22)</f>
        <v>6.07840434049</v>
      </c>
      <c r="H22">
        <f>$N$5+$N$6*F22</f>
        <v>6.04033396621</v>
      </c>
      <c r="I22">
        <f>G22-H22</f>
        <v>0.0380703742844</v>
      </c>
      <c r="J22">
        <f>$N$14+$N$15*E22</f>
        <v>0.38376668074</v>
      </c>
      <c r="K22">
        <f>D22-J22</f>
        <v>0.00397454926005</v>
      </c>
    </row>
    <row r="23">
      <c r="A23">
        <v>22</v>
      </c>
      <c r="B23">
        <v>72.991</v>
      </c>
      <c r="C23">
        <v>406.541998</v>
      </c>
      <c r="D23">
        <v>0.38192608</v>
      </c>
      <c r="E23">
        <f>B23+273.15</f>
        <v>346.141</v>
      </c>
      <c r="F23">
        <f>1/E23</f>
        <v>0.00288899610274</v>
      </c>
      <c r="G23">
        <f>LN(C23)</f>
        <v>6.00768723976</v>
      </c>
      <c r="H23">
        <f>$N$5+$N$6*F23</f>
        <v>5.9755351049</v>
      </c>
      <c r="I23">
        <f>G23-H23</f>
        <v>0.0321521348597</v>
      </c>
      <c r="J23">
        <f>$N$14+$N$15*E23</f>
        <v>0.378494120569</v>
      </c>
      <c r="K23">
        <f>D23-J23</f>
        <v>0.00343195943133</v>
      </c>
    </row>
    <row r="24">
      <c r="A24">
        <v>23</v>
      </c>
      <c r="B24">
        <v>75.004</v>
      </c>
      <c r="C24">
        <v>377.486967</v>
      </c>
      <c r="D24">
        <v>0.37570097</v>
      </c>
      <c r="E24">
        <f>B24+273.15</f>
        <v>348.154</v>
      </c>
      <c r="F24">
        <f>1/E24</f>
        <v>0.00287229214658</v>
      </c>
      <c r="G24">
        <f>LN(C24)</f>
        <v>5.93353604359</v>
      </c>
      <c r="H24">
        <f>$N$5+$N$6*F24</f>
        <v>5.91083906304</v>
      </c>
      <c r="I24">
        <f>G24-H24</f>
        <v>0.0226969805544</v>
      </c>
      <c r="J24">
        <f>$N$14+$N$15*E24</f>
        <v>0.373168649608</v>
      </c>
      <c r="K24">
        <f>D24-J24</f>
        <v>0.00253232039209</v>
      </c>
    </row>
    <row r="25">
      <c r="A25">
        <v>24</v>
      </c>
      <c r="B25">
        <v>77.002</v>
      </c>
      <c r="C25">
        <v>348.845622</v>
      </c>
      <c r="D25">
        <v>0.3689362</v>
      </c>
      <c r="E25">
        <f>B25+273.15</f>
        <v>350.152</v>
      </c>
      <c r="F25">
        <f>1/E25</f>
        <v>0.00285590257945</v>
      </c>
      <c r="G25">
        <f>LN(C25)</f>
        <v>5.8546294805</v>
      </c>
      <c r="H25">
        <f>$N$5+$N$6*F25</f>
        <v>5.84736068039</v>
      </c>
      <c r="I25">
        <f>G25-H25</f>
        <v>0.00726880010668</v>
      </c>
      <c r="J25">
        <f>$N$14+$N$15*E25</f>
        <v>0.367882861739</v>
      </c>
      <c r="K25">
        <f>D25-J25</f>
        <v>0.00105333826074</v>
      </c>
    </row>
    <row r="26">
      <c r="A26">
        <v>25</v>
      </c>
      <c r="B26">
        <v>78.999</v>
      </c>
      <c r="C26">
        <v>318.28605</v>
      </c>
      <c r="D26">
        <v>0.3608736</v>
      </c>
      <c r="E26">
        <f>B26+273.15</f>
        <v>352.149</v>
      </c>
      <c r="F26">
        <f>1/E26</f>
        <v>0.00283970705582</v>
      </c>
      <c r="G26">
        <f>LN(C26)</f>
        <v>5.76295050675</v>
      </c>
      <c r="H26">
        <f>$N$5+$N$6*F26</f>
        <v>5.78463384703</v>
      </c>
      <c r="I26">
        <f>G26-H26</f>
        <v>-0.0216833402791</v>
      </c>
      <c r="J26">
        <f>$N$14+$N$15*E26</f>
        <v>0.36259971941</v>
      </c>
      <c r="K26">
        <f>D26-J26</f>
        <v>-0.00172611941008</v>
      </c>
    </row>
    <row r="27">
      <c r="A27">
        <v>26</v>
      </c>
      <c r="B27">
        <v>81.006</v>
      </c>
      <c r="C27">
        <v>290.690499</v>
      </c>
      <c r="D27">
        <v>0.35292008</v>
      </c>
      <c r="E27">
        <f>B27+273.15</f>
        <v>354.156</v>
      </c>
      <c r="F27">
        <f>1/E27</f>
        <v>0.00282361445239</v>
      </c>
      <c r="G27">
        <f>LN(C27)</f>
        <v>5.67225912385</v>
      </c>
      <c r="H27">
        <f>$N$5+$N$6*F27</f>
        <v>5.72230563357</v>
      </c>
      <c r="I27">
        <f>G27-H27</f>
        <v>-0.0500465097213</v>
      </c>
      <c r="J27">
        <f>$N$14+$N$15*E27</f>
        <v>0.357290121686</v>
      </c>
      <c r="K27">
        <f>D27-J27</f>
        <v>-0.00437004168616</v>
      </c>
    </row>
    <row r="28">
      <c r="A28">
        <v>27</v>
      </c>
      <c r="B28">
        <v>82.998</v>
      </c>
      <c r="C28">
        <v>273.156719</v>
      </c>
      <c r="D28">
        <v>0.34733679</v>
      </c>
      <c r="E28">
        <f>B28+273.15</f>
        <v>356.148</v>
      </c>
      <c r="F28">
        <f>1/E28</f>
        <v>0.00280782146748</v>
      </c>
      <c r="G28">
        <f>LN(C28)</f>
        <v>5.61004569275</v>
      </c>
      <c r="H28">
        <f>$N$5+$N$6*F28</f>
        <v>5.66113787171</v>
      </c>
      <c r="I28">
        <f>G28-H28</f>
        <v>-0.0510921789666</v>
      </c>
      <c r="J28">
        <f>$N$14+$N$15*E28</f>
        <v>0.352020207054</v>
      </c>
      <c r="K28">
        <f>D28-J28</f>
        <v>-0.00468341705435</v>
      </c>
    </row>
    <row r="29">
      <c r="A29">
        <v>28</v>
      </c>
      <c r="B29">
        <v>84.997</v>
      </c>
      <c r="C29">
        <v>256.750092</v>
      </c>
      <c r="D29">
        <v>0.34164359</v>
      </c>
      <c r="E29">
        <f>B29+273.15</f>
        <v>358.147</v>
      </c>
      <c r="F29">
        <f>1/E29</f>
        <v>0.00279214959221</v>
      </c>
      <c r="G29">
        <f>LN(C29)</f>
        <v>5.54810320713</v>
      </c>
      <c r="H29">
        <f>$N$5+$N$6*F29</f>
        <v>5.60043917921</v>
      </c>
      <c r="I29">
        <f>G29-H29</f>
        <v>-0.0523359720764</v>
      </c>
      <c r="J29">
        <f>$N$14+$N$15*E29</f>
        <v>0.346731773646</v>
      </c>
      <c r="K29">
        <f>D29-J29</f>
        <v>-0.00508818364622</v>
      </c>
    </row>
    <row r="30">
      <c r="A30">
        <v>29</v>
      </c>
      <c r="B30">
        <v>87.006</v>
      </c>
      <c r="C30">
        <v>241.122648</v>
      </c>
      <c r="D30">
        <v>0.33580246</v>
      </c>
      <c r="E30">
        <f>B30+273.15</f>
        <v>360.156</v>
      </c>
      <c r="F30">
        <f>1/E30</f>
        <v>0.00277657459545</v>
      </c>
      <c r="G30">
        <f>LN(C30)</f>
        <v>5.4853057169</v>
      </c>
      <c r="H30">
        <f>$N$5+$N$6*F30</f>
        <v>5.54011570661</v>
      </c>
      <c r="I30">
        <f>G30-H30</f>
        <v>-0.0548099897077</v>
      </c>
      <c r="J30">
        <f>$N$14+$N$15*E30</f>
        <v>0.341416884843</v>
      </c>
      <c r="K30">
        <f>D30-J30</f>
        <v>-0.00561442484336</v>
      </c>
    </row>
    <row r="31">
      <c r="A31">
        <v>30</v>
      </c>
      <c r="B31">
        <v>89.003</v>
      </c>
      <c r="C31">
        <v>227.518572</v>
      </c>
      <c r="D31">
        <v>0.33039608</v>
      </c>
      <c r="E31">
        <f>B31+273.15</f>
        <v>362.153</v>
      </c>
      <c r="F31">
        <f>1/E31</f>
        <v>0.00276126388571</v>
      </c>
      <c r="G31">
        <f>LN(C31)</f>
        <v>5.42723187022</v>
      </c>
      <c r="H31">
        <f>$N$5+$N$6*F31</f>
        <v>5.48081584321</v>
      </c>
      <c r="I31">
        <f>G31-H31</f>
        <v>-0.0535839729847</v>
      </c>
      <c r="J31">
        <f>$N$14+$N$15*E31</f>
        <v>0.336133742514</v>
      </c>
      <c r="K31">
        <f>D31-J31</f>
        <v>-0.00573766251418</v>
      </c>
    </row>
    <row r="34">
      <c r="A34" t="inlineStr">
        <is>
          <t>数据组</t>
        </is>
      </c>
      <c r="B34" t="inlineStr">
        <is>
          <t>30C_to_90C</t>
        </is>
      </c>
    </row>
    <row r="36">
      <c r="A36" t="inlineStr" s="1">
        <is>
          <t>热敏电阻：lnR = a + b*(1/T)</t>
        </is>
      </c>
      <c r="B36" t="inlineStr">
        <is>
          <t/>
        </is>
      </c>
    </row>
    <row r="37">
      <c r="A37" t="inlineStr">
        <is>
          <t>截距 a</t>
        </is>
      </c>
      <c r="B37">
        <f>INTERCEPT(G2:G31,F2:F31)</f>
        <v>-5.21382692239</v>
      </c>
    </row>
    <row r="38">
      <c r="A38" t="inlineStr">
        <is>
          <t>斜率 b</t>
        </is>
      </c>
      <c r="B38">
        <f>SLOPE(G2:G31,F2:F31)</f>
        <v>3873.09696149</v>
      </c>
    </row>
    <row r="39">
      <c r="A39" t="inlineStr">
        <is>
          <t>Pearson r</t>
        </is>
      </c>
      <c r="B39">
        <f>CORREL(F2:F31,G2:G31)</f>
        <v>0.998346448117</v>
      </c>
    </row>
    <row r="40">
      <c r="A40" t="inlineStr">
        <is>
          <t>R平方</t>
        </is>
      </c>
      <c r="B40">
        <f>RSQ(G2:G31,F2:F31)</f>
        <v>0.996695630468</v>
      </c>
    </row>
    <row r="41">
      <c r="A41" t="inlineStr">
        <is>
          <t>残差平方和</t>
        </is>
      </c>
      <c r="B41">
        <f>SUMSQ(I2:I31)</f>
        <v>0.0367286708806</v>
      </c>
    </row>
    <row r="45">
      <c r="A45" t="inlineStr" s="1">
        <is>
          <t>PN结：U = a + b*T</t>
        </is>
      </c>
      <c r="B45" t="inlineStr">
        <is>
          <t/>
        </is>
      </c>
    </row>
    <row r="46">
      <c r="A46" t="inlineStr">
        <is>
          <t>截距 a</t>
        </is>
      </c>
      <c r="B46">
        <f>INTERCEPT(D2:D31,E2:E31)</f>
        <v>1.29422379957</v>
      </c>
    </row>
    <row r="47">
      <c r="A47" t="inlineStr">
        <is>
          <t>斜率 b</t>
        </is>
      </c>
      <c r="B47">
        <f>SLOPE(D2:D31,E2:E31)</f>
        <v>-0.0026455394738</v>
      </c>
    </row>
    <row r="48">
      <c r="A48" t="inlineStr">
        <is>
          <t>Pearson r</t>
        </is>
      </c>
      <c r="B48">
        <f>CORREL(E2:E31,D2:D31)</f>
        <v>-0.997061161232</v>
      </c>
    </row>
    <row r="49">
      <c r="A49" t="inlineStr">
        <is>
          <t>R平方</t>
        </is>
      </c>
      <c r="B49">
        <f>RSQ(D2:D31,E2:E31)</f>
        <v>0.994130959237</v>
      </c>
    </row>
    <row r="50">
      <c r="A50" t="inlineStr">
        <is>
          <t>残差平方和</t>
        </is>
      </c>
      <c r="B50">
        <f>SUMSQ(K2:K31)</f>
        <v>0.000371459086973</v>
      </c>
    </row>
    <row r="53">
      <c r="A53" t="inlineStr">
        <is>
          <t>说明</t>
        </is>
      </c>
      <c r="B53" t="inlineStr">
        <is>
          <t>E-G列、H-K列和右侧汇总区均含Excel公式，并写入了Python复算值。</t>
        </is>
      </c>
    </row>
  </sheetData>
  <autoFilter ref="A1:K31"/>
  <pageMargins left="0.7" right="0.7" top="0.75" bottom="0.75" header="0.3" footer="0.3"/>
</worksheet>
</file>